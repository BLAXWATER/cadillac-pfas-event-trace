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ar084m1oapf502\deq\WAR\HOME\LeonardM4\CSI Stuff\Cadillac WWTP\CSI May 2018\"/>
    </mc:Choice>
  </mc:AlternateContent>
  <xr:revisionPtr revIDLastSave="0" documentId="13_ncr:1_{10CA45E6-F389-4FB2-B430-3FA1D6AB6D51}" xr6:coauthVersionLast="32" xr6:coauthVersionMax="32" xr10:uidLastSave="{00000000-0000-0000-0000-000000000000}"/>
  <bookViews>
    <workbookView xWindow="0" yWindow="0" windowWidth="23040" windowHeight="8532" tabRatio="741" firstSheet="1" activeTab="1" xr2:uid="{23776FEE-9390-4B48-92FD-474BFD32A6CE}"/>
  </bookViews>
  <sheets>
    <sheet name="Data Entry" sheetId="1" state="hidden" r:id="rId1"/>
    <sheet name="Coverpage" sheetId="2" r:id="rId2"/>
    <sheet name="Survey Procedure" sheetId="3" r:id="rId3"/>
    <sheet name="Table 1 - Composites" sheetId="4" r:id="rId4"/>
    <sheet name="Table 2 - Grabs" sheetId="5" r:id="rId5"/>
    <sheet name="Table 3 - Composite Split" sheetId="6" r:id="rId6"/>
    <sheet name="Table 4 - Compare to Old" sheetId="7" r:id="rId7"/>
    <sheet name="Table 5 - Preservatives &amp; Codes" sheetId="8" r:id="rId8"/>
  </sheets>
  <externalReferences>
    <externalReference r:id="rId9"/>
  </externalReferences>
  <definedNames>
    <definedName name="_xlnm._FilterDatabase" localSheetId="0" hidden="1">'Data Entry'!$A$1:$A$74</definedName>
    <definedName name="_xlnm._FilterDatabase" localSheetId="3" hidden="1">'Table 1 - Composites'!$A$1:$A$64</definedName>
    <definedName name="_xlnm._FilterDatabase" localSheetId="4" hidden="1">'Table 2 - Grabs'!$A$3:$A$83</definedName>
    <definedName name="_xlnm._FilterDatabase" localSheetId="5" hidden="1">'Table 3 - Composite Split'!$A$1:$A$64</definedName>
    <definedName name="_xlnm._FilterDatabase" localSheetId="6" hidden="1">'Table 4 - Compare to Old'!$A$1:$A$85</definedName>
    <definedName name="_xlnm._FilterDatabase" localSheetId="7" hidden="1">'Table 5 - Preservatives &amp; Codes'!$A$1:$A$179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7" l="1"/>
  <c r="E11" i="7"/>
  <c r="E12" i="7"/>
  <c r="E13" i="7"/>
  <c r="E14" i="7"/>
  <c r="E56" i="7"/>
  <c r="E57" i="7"/>
  <c r="E58" i="7"/>
  <c r="E59" i="7"/>
  <c r="E60" i="7"/>
  <c r="E55" i="7"/>
  <c r="E54" i="7"/>
  <c r="E53" i="7"/>
  <c r="E45" i="7"/>
  <c r="E46" i="7"/>
  <c r="E47" i="7"/>
  <c r="E48" i="7"/>
  <c r="E49" i="7"/>
  <c r="E50" i="7"/>
  <c r="E51" i="7"/>
  <c r="E52" i="7"/>
  <c r="E36" i="7"/>
  <c r="E37" i="7"/>
  <c r="E38" i="7"/>
  <c r="E39" i="7"/>
  <c r="E40" i="7"/>
  <c r="E41" i="7"/>
  <c r="E42" i="7"/>
  <c r="E43" i="7"/>
  <c r="E44" i="7"/>
  <c r="E35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C11" i="4"/>
  <c r="E11" i="4" s="1"/>
  <c r="E7" i="7"/>
  <c r="E25" i="6"/>
  <c r="E21" i="6"/>
  <c r="E19" i="6"/>
  <c r="C59" i="4"/>
  <c r="C57" i="4"/>
  <c r="E57" i="4" s="1"/>
  <c r="C48" i="4"/>
  <c r="E48" i="4" s="1"/>
  <c r="C47" i="4"/>
  <c r="E47" i="4" s="1"/>
  <c r="C46" i="4"/>
  <c r="C45" i="4"/>
  <c r="E45" i="4" s="1"/>
  <c r="C44" i="4"/>
  <c r="E44" i="4" s="1"/>
  <c r="C43" i="4"/>
  <c r="E43" i="4" s="1"/>
  <c r="C42" i="4"/>
  <c r="C41" i="4"/>
  <c r="C40" i="4"/>
  <c r="C39" i="4"/>
  <c r="E11" i="6"/>
  <c r="C62" i="6"/>
  <c r="C61" i="6"/>
  <c r="C60" i="6"/>
  <c r="C59" i="6"/>
  <c r="C57" i="6"/>
  <c r="C55" i="6"/>
  <c r="C54" i="6"/>
  <c r="C53" i="6"/>
  <c r="C52" i="6"/>
  <c r="C51" i="6"/>
  <c r="C50" i="6"/>
  <c r="C49" i="6"/>
  <c r="C48" i="6"/>
  <c r="C7" i="6"/>
  <c r="H17" i="5"/>
  <c r="D14" i="5"/>
  <c r="F14" i="5"/>
  <c r="E59" i="4"/>
  <c r="E46" i="4"/>
  <c r="E42" i="4"/>
  <c r="E40" i="4"/>
  <c r="C7" i="4" l="1"/>
  <c r="T5" i="1"/>
  <c r="P6" i="1"/>
  <c r="L6" i="1"/>
  <c r="H6" i="1"/>
  <c r="E6" i="7" l="1"/>
  <c r="C4" i="7"/>
  <c r="C6" i="6"/>
  <c r="J13" i="5"/>
  <c r="J14" i="5"/>
  <c r="J15" i="5"/>
  <c r="J16" i="5"/>
  <c r="J17" i="5"/>
  <c r="J18" i="5"/>
  <c r="J12" i="5"/>
  <c r="H13" i="5"/>
  <c r="H14" i="5"/>
  <c r="H15" i="5"/>
  <c r="H16" i="5"/>
  <c r="H18" i="5"/>
  <c r="H12" i="5"/>
  <c r="F13" i="5"/>
  <c r="F15" i="5"/>
  <c r="F16" i="5"/>
  <c r="F17" i="5"/>
  <c r="F18" i="5"/>
  <c r="F12" i="5"/>
  <c r="D13" i="5"/>
  <c r="D15" i="5"/>
  <c r="D16" i="5"/>
  <c r="D17" i="5"/>
  <c r="D18" i="5"/>
  <c r="D12" i="5"/>
  <c r="J9" i="5"/>
  <c r="J8" i="5"/>
  <c r="H9" i="5"/>
  <c r="H8" i="5"/>
  <c r="N8" i="5" s="1"/>
  <c r="H6" i="5"/>
  <c r="L6" i="5" s="1"/>
  <c r="N6" i="5" s="1"/>
  <c r="F9" i="5"/>
  <c r="F8" i="5"/>
  <c r="F6" i="5"/>
  <c r="D9" i="5"/>
  <c r="D8" i="5"/>
  <c r="L8" i="5" s="1"/>
  <c r="D7" i="5"/>
  <c r="D6" i="5"/>
  <c r="C5" i="6" s="1"/>
  <c r="C12" i="4"/>
  <c r="E12" i="4" s="1"/>
  <c r="C13" i="4"/>
  <c r="E13" i="4" s="1"/>
  <c r="C14" i="4"/>
  <c r="C15" i="4"/>
  <c r="C16" i="4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C25" i="4"/>
  <c r="E25" i="4" s="1"/>
  <c r="C26" i="4"/>
  <c r="E26" i="4" s="1"/>
  <c r="C27" i="4"/>
  <c r="C28" i="4"/>
  <c r="E28" i="4" s="1"/>
  <c r="C29" i="4"/>
  <c r="E29" i="4" s="1"/>
  <c r="C30" i="4"/>
  <c r="E30" i="4" s="1"/>
  <c r="C31" i="4"/>
  <c r="E31" i="4" s="1"/>
  <c r="C32" i="4"/>
  <c r="E32" i="4" s="1"/>
  <c r="C33" i="4"/>
  <c r="E33" i="4" s="1"/>
  <c r="C34" i="4"/>
  <c r="E34" i="4" s="1"/>
  <c r="C35" i="4"/>
  <c r="C54" i="4"/>
  <c r="E54" i="4" s="1"/>
  <c r="C55" i="4"/>
  <c r="E55" i="4" s="1"/>
  <c r="C56" i="4"/>
  <c r="E56" i="4" s="1"/>
  <c r="C58" i="4"/>
  <c r="E58" i="4" s="1"/>
  <c r="C60" i="4"/>
  <c r="E60" i="4" s="1"/>
  <c r="C61" i="4"/>
  <c r="E61" i="4" s="1"/>
  <c r="C62" i="4"/>
  <c r="E62" i="4" s="1"/>
  <c r="C63" i="4"/>
  <c r="E63" i="4" s="1"/>
  <c r="C64" i="4"/>
  <c r="E41" i="4"/>
  <c r="C49" i="4"/>
  <c r="E49" i="4" s="1"/>
  <c r="C50" i="4"/>
  <c r="E50" i="4" s="1"/>
  <c r="C51" i="4"/>
  <c r="E51" i="4" s="1"/>
  <c r="C52" i="4"/>
  <c r="E52" i="4" s="1"/>
  <c r="C53" i="4"/>
  <c r="E53" i="4" s="1"/>
  <c r="E39" i="4"/>
  <c r="C6" i="4"/>
  <c r="G8" i="4"/>
  <c r="I53" i="4" s="1"/>
  <c r="C5" i="4"/>
  <c r="G5" i="4" s="1"/>
  <c r="A9" i="2"/>
  <c r="P10" i="1"/>
  <c r="H7" i="5" s="1"/>
  <c r="L10" i="1"/>
  <c r="F7" i="5" s="1"/>
  <c r="P5" i="1"/>
  <c r="L5" i="1"/>
  <c r="H5" i="1"/>
  <c r="I27" i="4" l="1"/>
  <c r="I64" i="4"/>
  <c r="I19" i="4"/>
  <c r="I31" i="4"/>
  <c r="I56" i="4"/>
  <c r="E64" i="4"/>
  <c r="I15" i="4"/>
  <c r="I23" i="4"/>
  <c r="E24" i="4"/>
  <c r="E16" i="4"/>
  <c r="I35" i="4"/>
  <c r="I52" i="4"/>
  <c r="I60" i="4"/>
  <c r="E35" i="4"/>
  <c r="E14" i="4"/>
  <c r="I18" i="4"/>
  <c r="I14" i="4"/>
  <c r="I34" i="4"/>
  <c r="I30" i="4"/>
  <c r="I22" i="4"/>
  <c r="I51" i="4"/>
  <c r="I63" i="4"/>
  <c r="I55" i="4"/>
  <c r="I11" i="4"/>
  <c r="I17" i="4"/>
  <c r="I13" i="4"/>
  <c r="I33" i="4"/>
  <c r="I29" i="4"/>
  <c r="I21" i="4"/>
  <c r="I50" i="4"/>
  <c r="I62" i="4"/>
  <c r="I58" i="4"/>
  <c r="I54" i="4"/>
  <c r="E15" i="4"/>
  <c r="I20" i="4"/>
  <c r="I16" i="4"/>
  <c r="I12" i="4"/>
  <c r="I32" i="4"/>
  <c r="I28" i="4"/>
  <c r="I24" i="4"/>
  <c r="I49" i="4"/>
  <c r="I61" i="4"/>
  <c r="E27" i="4"/>
</calcChain>
</file>

<file path=xl/sharedStrings.xml><?xml version="1.0" encoding="utf-8"?>
<sst xmlns="http://schemas.openxmlformats.org/spreadsheetml/2006/main" count="915" uniqueCount="294">
  <si>
    <t>Facility Name</t>
  </si>
  <si>
    <t>Monitoring Point</t>
  </si>
  <si>
    <t>Survey Period Start Date/time</t>
  </si>
  <si>
    <t>Survey Period End Date/time</t>
  </si>
  <si>
    <t>Grab Matrix</t>
  </si>
  <si>
    <t>Grab Date Collected</t>
  </si>
  <si>
    <t>Grab Time Collected</t>
  </si>
  <si>
    <t>Water Composite 1</t>
  </si>
  <si>
    <t xml:space="preserve">Water Grab 1 -1 </t>
  </si>
  <si>
    <t>Water Grab 1 - 2</t>
  </si>
  <si>
    <t>Water Grab 1 - 3</t>
  </si>
  <si>
    <t>Upstream</t>
  </si>
  <si>
    <t>Surface Water</t>
  </si>
  <si>
    <t>Parameters</t>
  </si>
  <si>
    <t>Results</t>
  </si>
  <si>
    <t>Temperature (F)</t>
  </si>
  <si>
    <t>pH (S.U.)</t>
  </si>
  <si>
    <t>Dissolved Oxygen</t>
  </si>
  <si>
    <t>Fecal Coliform (cts/100 ml)</t>
  </si>
  <si>
    <t>Oil and Grease (grav)</t>
  </si>
  <si>
    <t xml:space="preserve">Oil and Grease </t>
  </si>
  <si>
    <t>Suspended Solids</t>
  </si>
  <si>
    <t>Dissolved Solids</t>
  </si>
  <si>
    <t>CBOD-5</t>
  </si>
  <si>
    <t>BOD-5</t>
  </si>
  <si>
    <t>COD</t>
  </si>
  <si>
    <t>TOC</t>
  </si>
  <si>
    <t>NO2</t>
  </si>
  <si>
    <t>NO3 + NO2</t>
  </si>
  <si>
    <t>NH3</t>
  </si>
  <si>
    <t>Kjeldahl Nitrogen</t>
  </si>
  <si>
    <t>Total Phosphorus</t>
  </si>
  <si>
    <t>Ortho Phosphate</t>
  </si>
  <si>
    <t>Total Cyanide</t>
  </si>
  <si>
    <t>Amenable Cyanide</t>
  </si>
  <si>
    <t>Available Cyanide</t>
  </si>
  <si>
    <t>Alkalinity (as CaCO3)</t>
  </si>
  <si>
    <t>Conductivity (umho/cm)</t>
  </si>
  <si>
    <t>Hardness (as CaCO3)</t>
  </si>
  <si>
    <t>Calcium</t>
  </si>
  <si>
    <t>Sodium</t>
  </si>
  <si>
    <t>Potassium</t>
  </si>
  <si>
    <t>Magnesium</t>
  </si>
  <si>
    <t>Chloride</t>
  </si>
  <si>
    <t>Sulfate</t>
  </si>
  <si>
    <t>Sulfide</t>
  </si>
  <si>
    <t>Phenolics</t>
  </si>
  <si>
    <t>Total Cadmium (Cd)</t>
  </si>
  <si>
    <t>Total Chromium (Cr)</t>
  </si>
  <si>
    <t>Total Copper (Cu)</t>
  </si>
  <si>
    <t>Total Lead (Pb)</t>
  </si>
  <si>
    <t>Total Nickel (Ni)</t>
  </si>
  <si>
    <t>Total Zinc (Zn)</t>
  </si>
  <si>
    <t>Total Arsenic (As)</t>
  </si>
  <si>
    <t>Total Barium (Ba)</t>
  </si>
  <si>
    <t>Total Silver (Ag)</t>
  </si>
  <si>
    <t>Total Mercury (Hg)</t>
  </si>
  <si>
    <t>Total Selenium (Se)</t>
  </si>
  <si>
    <t>Hexavalent Chromium (Cr+6)</t>
  </si>
  <si>
    <t>Total Antimony (Sb)</t>
  </si>
  <si>
    <t>Total Iron (Fe)</t>
  </si>
  <si>
    <t>Total Cobalt (Co)</t>
  </si>
  <si>
    <t>Total Lithium (Li)</t>
  </si>
  <si>
    <t>Total Manganese (Mn)</t>
  </si>
  <si>
    <t>Total Aluminum (Al)</t>
  </si>
  <si>
    <t>Total Beryllium (Be)</t>
  </si>
  <si>
    <t>Total Molybdenum (Mo)</t>
  </si>
  <si>
    <t>Total Titanium (Ti)</t>
  </si>
  <si>
    <t>Total Vanadium (V)</t>
  </si>
  <si>
    <t>Total Thallium (Tl)</t>
  </si>
  <si>
    <t>Total Boron (B)</t>
  </si>
  <si>
    <t>Total Strontium ( Sr)</t>
  </si>
  <si>
    <t>Det Lev</t>
  </si>
  <si>
    <t>&lt;10 ND</t>
  </si>
  <si>
    <t>Units</t>
  </si>
  <si>
    <t>mg/L</t>
  </si>
  <si>
    <t>TRC</t>
  </si>
  <si>
    <t xml:space="preserve">Fecal Coliform </t>
  </si>
  <si>
    <t>(cts/100 ml)</t>
  </si>
  <si>
    <t>µg/L</t>
  </si>
  <si>
    <t>&lt;0.2 ND</t>
  </si>
  <si>
    <t>&lt;1 ND</t>
  </si>
  <si>
    <t>&lt;2 ND</t>
  </si>
  <si>
    <t>&lt;5 ND</t>
  </si>
  <si>
    <t>&lt;20 ND</t>
  </si>
  <si>
    <t xml:space="preserve">MICHIGAN DEPARTMENT OF ENVIRONMENTAL QUALITY </t>
  </si>
  <si>
    <t>WATER RESOURCES DIVISION</t>
  </si>
  <si>
    <t>POINT SOURCE MONITORING</t>
  </si>
  <si>
    <t>Report of a</t>
  </si>
  <si>
    <t xml:space="preserve"> Municipal Wastewater Survey</t>
  </si>
  <si>
    <t>Conducted at</t>
  </si>
  <si>
    <t>SURVEY SUMMARY</t>
  </si>
  <si>
    <t>The results of the physical, chemical and bacteriological analyses are presented in Tables 1 &amp; 2.</t>
  </si>
  <si>
    <t>The results of this survey are compared to the final limitations in the facility's National Pollutant Discharge Elimination System (NPDES) Permit No. MI in Table 4.</t>
  </si>
  <si>
    <t>The results of this survey are compared to the results reported by the facility in Tables 1 &amp; 2.</t>
  </si>
  <si>
    <t xml:space="preserve">A composite sample from monitoring point 001A was split with the facility to compare laboratory analyses. The results are shown in Table 3. </t>
  </si>
  <si>
    <t xml:space="preserve">The results of the physical and chemical  analyses are presented in Tables 1 &amp; 2.  </t>
  </si>
  <si>
    <r>
      <rPr>
        <i/>
        <sz val="12"/>
        <rFont val="Calibri"/>
        <family val="2"/>
        <scheme val="minor"/>
      </rPr>
      <t>Table 1 - Analyses of Composite Samples, Table 2 - Analyses of Grab Samples, Table 3 - Organic Compounds, Table 4 - Comparison of the Survey Results with the Facility's Discharge Monitoring Report, Table 5 - Comparison of the Laboratory Analytical Results Obtained by the Facility and the MDEQ Authorized Laboratories, Table 6 - Comparison of Results with Previous Survey, Table 7 - Sample Preservation</t>
    </r>
    <r>
      <rPr>
        <sz val="12"/>
        <rFont val="Calibri"/>
        <family val="2"/>
        <scheme val="minor"/>
      </rPr>
      <t xml:space="preserve"> in this report.</t>
    </r>
  </si>
  <si>
    <t>(Hide usually)</t>
  </si>
  <si>
    <t>(Hide)</t>
  </si>
  <si>
    <t>Samples were preserved according to Table 5.  Letter codes for laboratory results are defined in Table 5.</t>
  </si>
  <si>
    <t>SURVEY PROCEDURE</t>
  </si>
  <si>
    <t>The flow and samples were obtained as follows:</t>
  </si>
  <si>
    <t>Sample Location</t>
  </si>
  <si>
    <t>Flow Measurement</t>
  </si>
  <si>
    <t>Sampling Methods</t>
  </si>
  <si>
    <t>Facility Analysis Report</t>
  </si>
  <si>
    <t>Grab composite samples</t>
  </si>
  <si>
    <t>---</t>
  </si>
  <si>
    <t>Individual grab samples</t>
  </si>
  <si>
    <t xml:space="preserve">An automatic sampler composites samples at timed intervals.  Samples may be proportional to the instantaneous flow over the weir or through the flume.  </t>
  </si>
  <si>
    <t>(Hid)</t>
  </si>
  <si>
    <t>A submergible sampler obtains samples at a continuous rate.</t>
  </si>
  <si>
    <t>A grab composite consists of a series of individual grabs composited into one sample.</t>
  </si>
  <si>
    <t>An individual grab is a single instantaneous sample.</t>
  </si>
  <si>
    <t>Samples were preserved according to Table 7.  The results of the physical, chemical, and bacteriological analyses are presented in Tables 1 &amp; 2.  Letter codes for laboratory results are defined in Table 7.</t>
  </si>
  <si>
    <t>Samples were preserved according to Table 7.  The results of the physical and chemical  analyses are presented in Tables 1 &amp; 2.  Letter codes for laboratory results are defined in Table 7.</t>
  </si>
  <si>
    <t>There is no Table 3 in this report.</t>
  </si>
  <si>
    <t>Samples were analyzed by the MDEQ Laboratory located in Lansing, Michigan, and Merit Laboratories, Inc. in East Lansing, MI.</t>
  </si>
  <si>
    <t>Survey Period Start Date/Time</t>
  </si>
  <si>
    <t>Survey Period End Date/Time</t>
  </si>
  <si>
    <t>Flow Rate (MGD)</t>
  </si>
  <si>
    <t>lbs/day</t>
  </si>
  <si>
    <t>x</t>
  </si>
  <si>
    <t>&lt;4 ND</t>
  </si>
  <si>
    <t>&lt;3 ND</t>
  </si>
  <si>
    <t>&lt;0.01 ND</t>
  </si>
  <si>
    <t>&lt;0.1 ND</t>
  </si>
  <si>
    <t>MDEQ Analyses</t>
  </si>
  <si>
    <t>Matrix</t>
  </si>
  <si>
    <t>Date Collected</t>
  </si>
  <si>
    <t>Time Collected</t>
  </si>
  <si>
    <t>Grab 1-1</t>
  </si>
  <si>
    <t>Grab 1-2</t>
  </si>
  <si>
    <t>Grab 1-3</t>
  </si>
  <si>
    <t>Day 1</t>
  </si>
  <si>
    <t>Day 2</t>
  </si>
  <si>
    <t>Wastewater</t>
  </si>
  <si>
    <t>Dissolved Oxygen (mg/L)</t>
  </si>
  <si>
    <t>*DPD = "No visible indication of TRC using DPD."</t>
  </si>
  <si>
    <t xml:space="preserve">Total Mercury </t>
  </si>
  <si>
    <t xml:space="preserve">Total Cyanide </t>
  </si>
  <si>
    <t xml:space="preserve">Phenolics </t>
  </si>
  <si>
    <t>Total Residual Chlorine</t>
  </si>
  <si>
    <t xml:space="preserve">Total Suspended Solids </t>
  </si>
  <si>
    <t xml:space="preserve">Dissolved Solids </t>
  </si>
  <si>
    <t xml:space="preserve">CBOD-5 </t>
  </si>
  <si>
    <t xml:space="preserve">BOD-5 </t>
  </si>
  <si>
    <t xml:space="preserve">COD </t>
  </si>
  <si>
    <t xml:space="preserve">TOC </t>
  </si>
  <si>
    <t xml:space="preserve">NO2 </t>
  </si>
  <si>
    <t xml:space="preserve">NO3 + NO2 </t>
  </si>
  <si>
    <t xml:space="preserve">Kjeldahl Nitrogen </t>
  </si>
  <si>
    <t xml:space="preserve">NH3 </t>
  </si>
  <si>
    <t xml:space="preserve">Total Phosphorus </t>
  </si>
  <si>
    <t xml:space="preserve">Ortho Phosphate </t>
  </si>
  <si>
    <t xml:space="preserve">Amenable Cyanide </t>
  </si>
  <si>
    <t xml:space="preserve">Alkalinity (as CaCO3) </t>
  </si>
  <si>
    <t xml:space="preserve">Hardness (as CaCO3) </t>
  </si>
  <si>
    <t xml:space="preserve">Calcium </t>
  </si>
  <si>
    <t xml:space="preserve">Sodium </t>
  </si>
  <si>
    <t xml:space="preserve">Potassium </t>
  </si>
  <si>
    <t xml:space="preserve">Magnesium </t>
  </si>
  <si>
    <t xml:space="preserve">Chloride </t>
  </si>
  <si>
    <t xml:space="preserve">Sulfate </t>
  </si>
  <si>
    <t xml:space="preserve">Sulfide </t>
  </si>
  <si>
    <t xml:space="preserve">Date Collected </t>
  </si>
  <si>
    <t>Composite Split</t>
  </si>
  <si>
    <t>MDEQ Results</t>
  </si>
  <si>
    <t>Facility Results</t>
  </si>
  <si>
    <t/>
  </si>
  <si>
    <t>Parameter</t>
  </si>
  <si>
    <t>Preservative</t>
  </si>
  <si>
    <t>-------------------------------------</t>
  </si>
  <si>
    <t>-------------------------------------------------------------------------------</t>
  </si>
  <si>
    <t>COD/TOC/Phenol/Nutrients (Chlorine Absent)</t>
  </si>
  <si>
    <t>5 drops H2SO4/250 ml (to pH &lt;2)</t>
  </si>
  <si>
    <t>Phenols (Chlorine Present)</t>
  </si>
  <si>
    <t>Dechlorinate  w/ferrous ammonium sulphate  (0.141 N) 1 drop/mg/l Cl2/250 ml H2SO4 to pH &lt;2.</t>
  </si>
  <si>
    <t>Cyanide/Thiocyanates</t>
  </si>
  <si>
    <t>Dechlorinate if needed with ascorbic acid  (0.6 g/l, 10 drops 10 N NaOH   (to pH &gt;12)/250 ml.</t>
  </si>
  <si>
    <t>pH &amp; Dissolved Oxygen (D.O.)</t>
  </si>
  <si>
    <t>Meter reading</t>
  </si>
  <si>
    <t>Total Metals</t>
  </si>
  <si>
    <t>2 ml 1:1 HNO3/250 ml (to pH &lt;2).</t>
  </si>
  <si>
    <t>Dissolved Metals (Lab Filtered)</t>
  </si>
  <si>
    <t>2 ml 1:1 HNO3/250 ml (to pH &lt;2) after filtration.</t>
  </si>
  <si>
    <t>Microbiology</t>
  </si>
  <si>
    <t>2 drops 10% sodium thiosulfate/125 ml to dechlorinate sample</t>
  </si>
  <si>
    <t>Oil &amp; Grease</t>
  </si>
  <si>
    <t>10 drops conc. H2SO4/250 ml (to pH &lt;2)</t>
  </si>
  <si>
    <t>Sulfides</t>
  </si>
  <si>
    <t>10 drops 1M ZnAc/250 ml., 1 drop 10 N    NaOH to pH 9/250 ml.</t>
  </si>
  <si>
    <t>Base-neutral &amp; Acid Extractables</t>
  </si>
  <si>
    <t>Dechlorinate if needed with sodium  thiosulfate (1 drop 0.141 N/mg/l Cl2/250 ml).</t>
  </si>
  <si>
    <t>Purgeable Organics</t>
  </si>
  <si>
    <t>5 drops conc. HCl (to pH &lt;2)</t>
  </si>
  <si>
    <t>Samples preserved as required, cooled to 6 degrees Centigrade with chain of custody maintained</t>
  </si>
  <si>
    <t>Lab Letter Codes</t>
  </si>
  <si>
    <t>-------------------------------------------------------------------------------------------------------------</t>
  </si>
  <si>
    <t>A - Value reported is mean of two or more determinations.</t>
  </si>
  <si>
    <t>C - Value calculated from other independent parameters.</t>
  </si>
  <si>
    <t>D - Analyte value quantified from a dilution(s); reporting limit (RL) raised.</t>
  </si>
  <si>
    <t>E - Result is estimated due to high recovery of batch QC.</t>
  </si>
  <si>
    <t>F - Free cyanide was not analyzed due to low level of total cyanide.</t>
  </si>
  <si>
    <t>G - Result and RL are estimated due to initial calibration standard criteria failure.</t>
  </si>
  <si>
    <t>H - Sample had exceeded EPA holding time for this analysis when received in the laboratory.</t>
  </si>
  <si>
    <t>I - Dilution required due to matrix interference;reporting limit (RL) raised.</t>
  </si>
  <si>
    <t>J - Analyte was positively identified.  Value is an estimate.</t>
  </si>
  <si>
    <t>J - Result  was detected between MDL and RL and is considered estimated.  (TriMatrix Labs)</t>
  </si>
  <si>
    <t>K - RL(s) raised due to matrix interferences.</t>
  </si>
  <si>
    <t>L - Actual value is greater than the value given.</t>
  </si>
  <si>
    <t>M - The level of the method preparation blank (MPB) is reported in the qualifier column.</t>
  </si>
  <si>
    <t>N - Non-homogeneous sample made analysis of sample questionable.</t>
  </si>
  <si>
    <t>O - Result and RL estimated due to analysis from an open vial.</t>
  </si>
  <si>
    <t>P - Recommended sample collection/preservation technique not used; reported result(s) is an estimate.</t>
  </si>
  <si>
    <t>Q - Quantity of sample insufficient to perform analysis required.</t>
  </si>
  <si>
    <t>R - Result confirmed by re-extraction and analysis.</t>
  </si>
  <si>
    <t>S - Supernatant analyzed.</t>
  </si>
  <si>
    <t>T - Reported value is less than the reporting limit (RL).</t>
  </si>
  <si>
    <t>U - Result was not detected above the MDL. (TriMatrix Labs)</t>
  </si>
  <si>
    <t>V - Value not available due to dilution.</t>
  </si>
  <si>
    <t>W - Reported value is less than the method detection limit (MDL).</t>
  </si>
  <si>
    <t>X - Methods 8260 &amp; 624 are used to analyze volatile organics that have boiling points below 200 degrees C.2-Methylnapthalene &amp; napthalene have boiling points above 200 degrees C and are better suited to analysis by methods 8270 or 625 as semivolatile organics.</t>
  </si>
  <si>
    <t>Z - Result reported below the RL to meet the TDL in RRD Op Memo 2 (10/22/04) multiplied by applicable dilution factor.</t>
  </si>
  <si>
    <t>DL - Sample analyzed using a dilution(s).</t>
  </si>
  <si>
    <t>DM - Dilution required due to matrix problems.</t>
  </si>
  <si>
    <t xml:space="preserve">HT - The recommended maximum laboratory holding time was exceeded before analysis.  </t>
  </si>
  <si>
    <t>JA - Result is estimated due to multiple Arochlors present.</t>
  </si>
  <si>
    <t>JC - Result is estimated since confirmation analysis did not meet acceptance criteria.</t>
  </si>
  <si>
    <t xml:space="preserve">JD - Due to severe degradation, specific Aroclor identification is difficult and quantitation is estimated. </t>
  </si>
  <si>
    <t>KR - RL(s) raised due to low sample volume submitted.</t>
  </si>
  <si>
    <t>KS - RL(s) raised due to low total solids.</t>
  </si>
  <si>
    <t>KW - RL(s) raised due to light sample weight.</t>
  </si>
  <si>
    <t>LB - Reported library search compounds are tentative identifications with estimated concentrations.</t>
  </si>
  <si>
    <t xml:space="preserve">LH - Quality control indicated possible low recovery. The actual level may have been higher than the reported value.  </t>
  </si>
  <si>
    <t xml:space="preserve">LL - Quality control indicated possible high recovery. The actual level may have been lower than the reported value.  </t>
  </si>
  <si>
    <t>LP - Quality control indicated that the precision of the result may have been outside precision control limits.</t>
  </si>
  <si>
    <t>MM - Analytical method or matrix is not within SOP of this laboratory.</t>
  </si>
  <si>
    <t>NC - No confirmation by a second technique.</t>
  </si>
  <si>
    <t>ND - Indicates compound analyzed for but not detected</t>
  </si>
  <si>
    <t xml:space="preserve">NH - Nonhomogenous sample made analysis of a representative aliquot questionable.  </t>
  </si>
  <si>
    <t xml:space="preserve">PI - Possible interference may have affected the accuracy of the laboratory result.  </t>
  </si>
  <si>
    <t>QC - Quality control problem exists.</t>
  </si>
  <si>
    <t xml:space="preserve">RB - Reagent blank.  The level of reagent blank contamination is reported in the comment column and may be subtracted from the analyte value.  </t>
  </si>
  <si>
    <t>ST - Recommended laboratory collection/preservation technique not used.</t>
  </si>
  <si>
    <t>SC - Recommended laboratory sample container not used.</t>
  </si>
  <si>
    <t>SV - Sample volume received for analysis incorrect (bacti bottle too full for proper mixing, volatile hydrocarbon bottle not completely filled, etc.).</t>
  </si>
  <si>
    <t xml:space="preserve">UC - No attempt has been made to confirm the identity of the reported compound by a second independent technique due to equipment or sample problems.  </t>
  </si>
  <si>
    <t>ACC - Laboratory accident resulted in no obtainable value.</t>
  </si>
  <si>
    <t>FCN - Free cyanide was not analyzed due to low level of total cyanide found.  By definition, the free cyanide would be less than or equal to the total cyanide.</t>
  </si>
  <si>
    <t xml:space="preserve">INT - Interference encountered during analysis resulted in no obtainable value.  </t>
  </si>
  <si>
    <t>NAV - Requested analysis not available (lack of method or equipment,  long-term equipment failure, etc.).</t>
  </si>
  <si>
    <t>PS1 - Result(s) and RL(s) are estimated due to low surrogate recovery.</t>
  </si>
  <si>
    <t>PS2 - Result is estimated due to high surrogate recovery.</t>
  </si>
  <si>
    <t>PS3 - Result(s) and RL(s) are estimated due to low matrix spike recovery.</t>
  </si>
  <si>
    <t>PS4 - Result is estimated due to high matrix spike recovery.</t>
  </si>
  <si>
    <t>PS5 - Result and RL are estimated due to low continuing calibration standard criteria failure.</t>
  </si>
  <si>
    <t>PS6 - Result and RL are estimated due to high continuing calibration standard criteria failure.</t>
  </si>
  <si>
    <t>PS7 - Result(s) and RL(s) are estimated due to poor precision.</t>
  </si>
  <si>
    <t>PS8 - Result(s) and RL(s) are estimated due to low recovery of batch QC.</t>
  </si>
  <si>
    <t>PS9 - Result outside QC acceptance criteria.</t>
  </si>
  <si>
    <t>QNS - Quantity not sufficient to perform requested analysis.</t>
  </si>
  <si>
    <t>STR - Settleable residue was not analyzed due to the low level of nonfilterable residue found.  By definition, the settleable residue would be less than or equal to the nonfilterable residue.</t>
  </si>
  <si>
    <t xml:space="preserve">                Survey by:  </t>
  </si>
  <si>
    <t>Micky Leonard, Environmental Quality Analyst</t>
  </si>
  <si>
    <t xml:space="preserve">  Contact with Management:</t>
  </si>
  <si>
    <t xml:space="preserve">   Laboratory Analyses by:</t>
  </si>
  <si>
    <t xml:space="preserve">                Report by:</t>
  </si>
  <si>
    <t>Field Operations Section</t>
  </si>
  <si>
    <t>Water Resources Division</t>
  </si>
  <si>
    <t>Southeast Michigan District Office</t>
  </si>
  <si>
    <t xml:space="preserve">Michigan Department of  Environmental Quality </t>
  </si>
  <si>
    <t xml:space="preserve">             Publish Date:</t>
  </si>
  <si>
    <t>Cadillac WWTP</t>
  </si>
  <si>
    <t>001A</t>
  </si>
  <si>
    <t>ND</t>
  </si>
  <si>
    <t>&lt;0.002 ND</t>
  </si>
  <si>
    <t>NPDES No. MI0020257</t>
  </si>
  <si>
    <t>Wexford County</t>
  </si>
  <si>
    <t>Cadillac, MI 49601</t>
  </si>
  <si>
    <t>May 9-10, 2018</t>
  </si>
  <si>
    <t xml:space="preserve">Wastewater monitoring was performed during one, twenty-four hour survey period starting May 9, 2018 at 10:20 AM. </t>
  </si>
  <si>
    <t>The results of this survey are compared to the results of the previous survey performed in October of 2014 in Table 4.</t>
  </si>
  <si>
    <t>001A - Composite samples collected prior to disinfection from facility compositor</t>
  </si>
  <si>
    <t>001A - Grab samples collected post disinfection from outfall to Clam River</t>
  </si>
  <si>
    <t>Upstream samples collected from approximately 20 ft. upstream of outfall to Clam River</t>
  </si>
  <si>
    <t>Cadillac WWTP Analyses</t>
  </si>
  <si>
    <t>Available Cyanide (mg/L)</t>
  </si>
  <si>
    <t xml:space="preserve">--- </t>
  </si>
  <si>
    <t>`</t>
  </si>
  <si>
    <t>Preserved with Sodium Hydroxide to a minimum pH of 12.</t>
  </si>
  <si>
    <t>Doug Langworthy, Superintendant Cadillac WWTP</t>
  </si>
  <si>
    <t>Michigan Department of Environmental Quality Laboratory, Lansing and Michigan Merit Laboratories Inc., East Lansing, 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</si>
</sst>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\,\ yyyy"/>
    <numFmt numFmtId="168" formatCode="m/d/yy\ h:mm;@"/>
    <numFmt numFmtId="171" formatCode="0.000"/>
    <numFmt numFmtId="173" formatCode="h:mm;@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0182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4" fillId="7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2" borderId="0" xfId="0" applyFill="1" applyBorder="1"/>
    <xf numFmtId="0" fontId="0" fillId="0" borderId="0" xfId="0" applyBorder="1" applyAlignment="1">
      <alignment horizontal="center"/>
    </xf>
    <xf numFmtId="0" fontId="5" fillId="0" borderId="0" xfId="0" applyFont="1" applyAlignment="1" applyProtection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 applyProtection="1">
      <alignment horizontal="center"/>
    </xf>
    <xf numFmtId="0" fontId="6" fillId="0" borderId="0" xfId="0" applyFont="1" applyAlignment="1" applyProtection="1">
      <alignment horizontal="left"/>
    </xf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left" wrapText="1"/>
    </xf>
    <xf numFmtId="0" fontId="7" fillId="0" borderId="0" xfId="0" applyFont="1" applyAlignment="1" applyProtection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3" fillId="0" borderId="0" xfId="0" applyFont="1"/>
    <xf numFmtId="0" fontId="7" fillId="0" borderId="0" xfId="0" applyFont="1"/>
    <xf numFmtId="0" fontId="6" fillId="0" borderId="0" xfId="0" applyFont="1"/>
    <xf numFmtId="0" fontId="6" fillId="0" borderId="2" xfId="0" applyFont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/>
    <xf numFmtId="0" fontId="0" fillId="0" borderId="0" xfId="0" applyAlignment="1">
      <alignment horizontal="right"/>
    </xf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0" fontId="0" fillId="0" borderId="0" xfId="0" quotePrefix="1"/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168" fontId="0" fillId="0" borderId="0" xfId="0" applyNumberFormat="1" applyAlignment="1"/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301827"/>
      <color rgb="FF5E30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AR/HOME/LeonardM4/CSI%20Stuff/TemplateofTi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page"/>
      <sheetName val="Survey Procedure"/>
      <sheetName val="Table 1 - Composites"/>
      <sheetName val="Table 2 - Grabs"/>
      <sheetName val="Table 3 - Composite Split"/>
      <sheetName val="Table 4 - Compare to Old"/>
      <sheetName val="Table 5 - Preservatives &amp; Codes"/>
    </sheetNames>
    <sheetDataSet>
      <sheetData sheetId="0">
        <row r="59">
          <cell r="F59" t="str">
            <v>&lt;5 ND</v>
          </cell>
        </row>
        <row r="60">
          <cell r="F60" t="str">
            <v>&lt;1 ND</v>
          </cell>
        </row>
        <row r="61">
          <cell r="F61" t="str">
            <v>&lt;1 ND</v>
          </cell>
        </row>
        <row r="62">
          <cell r="F62" t="str">
            <v>&lt;20 ND</v>
          </cell>
        </row>
        <row r="63">
          <cell r="F63" t="str">
            <v>&lt;5 ND</v>
          </cell>
        </row>
        <row r="64">
          <cell r="F64" t="str">
            <v>&lt;5 ND</v>
          </cell>
        </row>
        <row r="65">
          <cell r="F65" t="str">
            <v>&lt;20 ND</v>
          </cell>
        </row>
        <row r="66">
          <cell r="F66" t="str">
            <v>&lt;10 ND</v>
          </cell>
        </row>
        <row r="68">
          <cell r="F68" t="str">
            <v>&lt;5 ND</v>
          </cell>
        </row>
        <row r="70">
          <cell r="F70" t="str">
            <v>&lt;5 ND</v>
          </cell>
        </row>
        <row r="71">
          <cell r="F71" t="str">
            <v>&lt;2 ND</v>
          </cell>
        </row>
        <row r="72">
          <cell r="F72" t="str">
            <v>&lt;5 ND</v>
          </cell>
        </row>
        <row r="73">
          <cell r="F73" t="str">
            <v>&lt;2 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A5B8-3511-41D9-943C-AAE733E54452}">
  <dimension ref="A1:W74"/>
  <sheetViews>
    <sheetView topLeftCell="A28" zoomScale="80" zoomScaleNormal="80" workbookViewId="0">
      <selection activeCell="B24" sqref="B24:B74"/>
    </sheetView>
  </sheetViews>
  <sheetFormatPr defaultRowHeight="14.4" x14ac:dyDescent="0.3"/>
  <cols>
    <col min="1" max="1" width="8.88671875" customWidth="1"/>
    <col min="2" max="2" width="25.5546875" bestFit="1" customWidth="1"/>
    <col min="3" max="3" width="3.77734375" style="1" customWidth="1"/>
    <col min="4" max="4" width="16.88671875" bestFit="1" customWidth="1"/>
    <col min="5" max="5" width="9" bestFit="1" customWidth="1"/>
    <col min="6" max="6" width="9.5546875" bestFit="1" customWidth="1"/>
    <col min="7" max="7" width="3.77734375" style="1" customWidth="1"/>
    <col min="8" max="8" width="14.5546875" bestFit="1" customWidth="1"/>
    <col min="9" max="9" width="10.6640625" customWidth="1"/>
    <col min="10" max="10" width="7.109375" bestFit="1" customWidth="1"/>
    <col min="11" max="11" width="3.77734375" style="1" customWidth="1"/>
    <col min="12" max="12" width="14.5546875" bestFit="1" customWidth="1"/>
    <col min="13" max="13" width="5.33203125" bestFit="1" customWidth="1"/>
    <col min="14" max="14" width="7.109375" bestFit="1" customWidth="1"/>
    <col min="15" max="15" width="3.77734375" style="1" customWidth="1"/>
    <col min="16" max="16" width="14.5546875" bestFit="1" customWidth="1"/>
    <col min="17" max="17" width="5.33203125" bestFit="1" customWidth="1"/>
    <col min="18" max="18" width="7.109375" bestFit="1" customWidth="1"/>
    <col min="19" max="19" width="3.77734375" style="1" customWidth="1"/>
    <col min="20" max="20" width="14" customWidth="1"/>
    <col min="21" max="21" width="5.21875" customWidth="1"/>
    <col min="22" max="22" width="7.109375" bestFit="1" customWidth="1"/>
    <col min="23" max="23" width="2.109375" style="2" customWidth="1"/>
  </cols>
  <sheetData>
    <row r="1" spans="1:22" x14ac:dyDescent="0.3">
      <c r="A1" t="s">
        <v>123</v>
      </c>
    </row>
    <row r="2" spans="1:22" x14ac:dyDescent="0.3">
      <c r="A2" t="s">
        <v>123</v>
      </c>
    </row>
    <row r="3" spans="1:22" x14ac:dyDescent="0.3">
      <c r="A3" t="s">
        <v>123</v>
      </c>
      <c r="D3" s="7" t="s">
        <v>7</v>
      </c>
      <c r="E3" s="7"/>
      <c r="F3" s="7" t="s">
        <v>72</v>
      </c>
      <c r="G3" s="8"/>
      <c r="H3" s="7" t="s">
        <v>8</v>
      </c>
      <c r="I3" s="7"/>
      <c r="J3" s="7" t="s">
        <v>72</v>
      </c>
      <c r="K3" s="8"/>
      <c r="L3" s="7" t="s">
        <v>9</v>
      </c>
      <c r="M3" s="7"/>
      <c r="N3" s="7" t="s">
        <v>72</v>
      </c>
      <c r="O3" s="8"/>
      <c r="P3" s="7" t="s">
        <v>10</v>
      </c>
      <c r="Q3" s="7"/>
      <c r="R3" s="7" t="s">
        <v>72</v>
      </c>
      <c r="S3" s="8"/>
      <c r="T3" s="7" t="s">
        <v>11</v>
      </c>
      <c r="U3" s="7"/>
      <c r="V3" s="7" t="s">
        <v>72</v>
      </c>
    </row>
    <row r="4" spans="1:22" x14ac:dyDescent="0.3">
      <c r="A4" t="s">
        <v>123</v>
      </c>
      <c r="B4" s="4"/>
      <c r="C4" s="5"/>
      <c r="D4" s="4"/>
      <c r="E4" s="4"/>
      <c r="F4" s="4"/>
      <c r="G4" s="5"/>
      <c r="H4" s="4"/>
      <c r="I4" s="4"/>
      <c r="J4" s="4"/>
      <c r="K4" s="5"/>
      <c r="L4" s="4"/>
      <c r="M4" s="4"/>
      <c r="N4" s="4"/>
      <c r="O4" s="5"/>
      <c r="P4" s="4"/>
      <c r="Q4" s="4"/>
      <c r="R4" s="4"/>
      <c r="S4" s="5"/>
      <c r="T4" s="4"/>
      <c r="U4" s="4"/>
      <c r="V4" s="4"/>
    </row>
    <row r="5" spans="1:22" x14ac:dyDescent="0.3">
      <c r="A5" t="s">
        <v>123</v>
      </c>
      <c r="B5" t="s">
        <v>0</v>
      </c>
      <c r="D5" t="s">
        <v>274</v>
      </c>
      <c r="F5" s="3"/>
      <c r="H5" t="str">
        <f>D5</f>
        <v>Cadillac WWTP</v>
      </c>
      <c r="J5" s="3"/>
      <c r="L5" t="str">
        <f>D5</f>
        <v>Cadillac WWTP</v>
      </c>
      <c r="N5" s="3"/>
      <c r="P5" t="str">
        <f>D5</f>
        <v>Cadillac WWTP</v>
      </c>
      <c r="R5" s="3"/>
      <c r="T5" t="str">
        <f>D5</f>
        <v>Cadillac WWTP</v>
      </c>
      <c r="V5" s="3"/>
    </row>
    <row r="6" spans="1:22" x14ac:dyDescent="0.3">
      <c r="A6" t="s">
        <v>123</v>
      </c>
      <c r="B6" t="s">
        <v>1</v>
      </c>
      <c r="D6" t="s">
        <v>275</v>
      </c>
      <c r="F6" s="3"/>
      <c r="H6" t="str">
        <f>D6</f>
        <v>001A</v>
      </c>
      <c r="J6" s="3"/>
      <c r="L6" t="str">
        <f>D6</f>
        <v>001A</v>
      </c>
      <c r="N6" s="3"/>
      <c r="P6" t="str">
        <f>D6</f>
        <v>001A</v>
      </c>
      <c r="R6" s="3"/>
      <c r="T6" t="s">
        <v>11</v>
      </c>
      <c r="V6" s="3"/>
    </row>
    <row r="7" spans="1:22" x14ac:dyDescent="0.3">
      <c r="A7" t="s">
        <v>123</v>
      </c>
      <c r="B7" t="s">
        <v>2</v>
      </c>
      <c r="D7" s="55">
        <v>43229.430555555555</v>
      </c>
      <c r="F7" s="3"/>
      <c r="H7" s="3"/>
      <c r="I7" s="3"/>
      <c r="J7" s="3"/>
      <c r="L7" s="3"/>
      <c r="M7" s="3"/>
      <c r="N7" s="3"/>
      <c r="P7" s="3"/>
      <c r="Q7" s="3"/>
      <c r="R7" s="3"/>
      <c r="T7" s="3"/>
      <c r="U7" s="3"/>
      <c r="V7" s="3"/>
    </row>
    <row r="8" spans="1:22" x14ac:dyDescent="0.3">
      <c r="A8" t="s">
        <v>123</v>
      </c>
      <c r="B8" t="s">
        <v>3</v>
      </c>
      <c r="D8" s="55">
        <v>43230.388888888891</v>
      </c>
      <c r="F8" s="3"/>
      <c r="H8" s="3"/>
      <c r="I8" s="3"/>
      <c r="J8" s="3"/>
      <c r="L8" s="3"/>
      <c r="M8" s="3"/>
      <c r="N8" s="3"/>
      <c r="P8" s="3"/>
      <c r="Q8" s="3"/>
      <c r="R8" s="3"/>
      <c r="T8" s="3"/>
      <c r="U8" s="3"/>
      <c r="V8" s="3"/>
    </row>
    <row r="9" spans="1:22" x14ac:dyDescent="0.3">
      <c r="A9" t="s">
        <v>123</v>
      </c>
      <c r="B9" t="s">
        <v>121</v>
      </c>
      <c r="D9">
        <v>1.9750000000000001</v>
      </c>
      <c r="F9" s="3"/>
      <c r="H9" s="3"/>
      <c r="I9" s="3"/>
      <c r="J9" s="3"/>
      <c r="L9" s="3"/>
      <c r="M9" s="3"/>
      <c r="N9" s="3"/>
      <c r="P9" s="3"/>
      <c r="Q9" s="3"/>
      <c r="R9" s="3"/>
      <c r="T9" s="3"/>
      <c r="U9" s="3"/>
      <c r="V9" s="3"/>
    </row>
    <row r="10" spans="1:22" x14ac:dyDescent="0.3">
      <c r="A10" t="s">
        <v>123</v>
      </c>
      <c r="B10" t="s">
        <v>4</v>
      </c>
      <c r="D10" s="3"/>
      <c r="E10" s="3"/>
      <c r="F10" s="3"/>
      <c r="H10" t="s">
        <v>137</v>
      </c>
      <c r="L10" t="str">
        <f>H10</f>
        <v>Wastewater</v>
      </c>
      <c r="P10" t="str">
        <f>H10</f>
        <v>Wastewater</v>
      </c>
      <c r="T10" t="s">
        <v>12</v>
      </c>
    </row>
    <row r="11" spans="1:22" x14ac:dyDescent="0.3">
      <c r="A11" t="s">
        <v>123</v>
      </c>
      <c r="B11" t="s">
        <v>5</v>
      </c>
      <c r="D11" s="3"/>
      <c r="E11" s="3"/>
      <c r="F11" s="3"/>
      <c r="H11" s="56">
        <v>43229</v>
      </c>
      <c r="L11" s="56">
        <v>43229</v>
      </c>
      <c r="P11" s="56">
        <v>43230</v>
      </c>
      <c r="T11" s="56">
        <v>43229</v>
      </c>
    </row>
    <row r="12" spans="1:22" x14ac:dyDescent="0.3">
      <c r="A12" t="s">
        <v>123</v>
      </c>
      <c r="B12" t="s">
        <v>6</v>
      </c>
      <c r="D12" s="3"/>
      <c r="E12" s="3"/>
      <c r="F12" s="3"/>
      <c r="H12" s="57">
        <v>0.43055555555555558</v>
      </c>
      <c r="L12" s="57">
        <v>0.64930555555555558</v>
      </c>
      <c r="P12" s="57">
        <v>0.3888888888888889</v>
      </c>
      <c r="T12" s="57">
        <v>0.45833333333333331</v>
      </c>
    </row>
    <row r="13" spans="1:22" x14ac:dyDescent="0.3">
      <c r="A13" t="s">
        <v>123</v>
      </c>
      <c r="B13" s="4"/>
      <c r="C13" s="5"/>
      <c r="D13" s="4"/>
      <c r="E13" s="4"/>
      <c r="F13" s="4"/>
      <c r="G13" s="5"/>
      <c r="H13" s="4"/>
      <c r="I13" s="4"/>
      <c r="J13" s="4"/>
      <c r="K13" s="5"/>
      <c r="L13" s="4"/>
      <c r="M13" s="4"/>
      <c r="N13" s="4"/>
      <c r="O13" s="5"/>
      <c r="P13" s="4"/>
      <c r="Q13" s="4"/>
      <c r="R13" s="4"/>
      <c r="S13" s="5"/>
      <c r="T13" s="4"/>
      <c r="U13" s="4"/>
      <c r="V13" s="4"/>
    </row>
    <row r="14" spans="1:22" x14ac:dyDescent="0.3">
      <c r="A14" t="s">
        <v>123</v>
      </c>
      <c r="B14" s="9" t="s">
        <v>13</v>
      </c>
      <c r="D14" s="7" t="s">
        <v>14</v>
      </c>
      <c r="E14" s="3"/>
      <c r="F14" s="3"/>
      <c r="G14" s="8"/>
      <c r="H14" s="7" t="s">
        <v>14</v>
      </c>
      <c r="I14" s="7" t="s">
        <v>74</v>
      </c>
      <c r="J14" s="7"/>
      <c r="K14" s="8"/>
      <c r="L14" s="7" t="s">
        <v>14</v>
      </c>
      <c r="M14" s="7" t="s">
        <v>74</v>
      </c>
      <c r="N14" s="7"/>
      <c r="O14" s="8"/>
      <c r="P14" s="7" t="s">
        <v>14</v>
      </c>
      <c r="Q14" s="7" t="s">
        <v>74</v>
      </c>
      <c r="R14" s="7"/>
      <c r="S14" s="8"/>
      <c r="T14" s="7" t="s">
        <v>14</v>
      </c>
      <c r="U14" s="7" t="s">
        <v>74</v>
      </c>
      <c r="V14" s="7"/>
    </row>
    <row r="15" spans="1:22" x14ac:dyDescent="0.3">
      <c r="A15" t="s">
        <v>123</v>
      </c>
      <c r="B15" t="s">
        <v>15</v>
      </c>
      <c r="D15" s="3"/>
      <c r="E15" s="3"/>
      <c r="F15" s="3"/>
      <c r="H15">
        <v>61</v>
      </c>
      <c r="L15">
        <v>59</v>
      </c>
      <c r="P15">
        <v>62</v>
      </c>
      <c r="T15">
        <v>62</v>
      </c>
    </row>
    <row r="16" spans="1:22" x14ac:dyDescent="0.3">
      <c r="A16" t="s">
        <v>123</v>
      </c>
      <c r="B16" t="s">
        <v>16</v>
      </c>
      <c r="D16" s="3"/>
      <c r="E16" s="3"/>
      <c r="F16" s="3"/>
      <c r="H16">
        <v>6.99</v>
      </c>
      <c r="L16">
        <v>6.8</v>
      </c>
      <c r="P16">
        <v>8.17</v>
      </c>
      <c r="T16">
        <v>7.06</v>
      </c>
    </row>
    <row r="17" spans="1:22" x14ac:dyDescent="0.3">
      <c r="B17" t="s">
        <v>76</v>
      </c>
      <c r="D17" s="3"/>
      <c r="E17" s="3"/>
      <c r="F17" s="3"/>
    </row>
    <row r="18" spans="1:22" x14ac:dyDescent="0.3">
      <c r="A18" t="s">
        <v>123</v>
      </c>
      <c r="B18" t="s">
        <v>17</v>
      </c>
      <c r="D18" s="3"/>
      <c r="E18" s="3"/>
      <c r="F18" s="3"/>
      <c r="H18">
        <v>8.06</v>
      </c>
      <c r="L18">
        <v>8.44</v>
      </c>
      <c r="P18">
        <v>8.33</v>
      </c>
      <c r="T18">
        <v>9.0500000000000007</v>
      </c>
    </row>
    <row r="19" spans="1:22" x14ac:dyDescent="0.3">
      <c r="B19" t="s">
        <v>37</v>
      </c>
      <c r="D19" s="3"/>
      <c r="E19" s="3"/>
      <c r="F19" s="3"/>
    </row>
    <row r="20" spans="1:22" x14ac:dyDescent="0.3">
      <c r="A20" t="s">
        <v>123</v>
      </c>
      <c r="B20" t="s">
        <v>77</v>
      </c>
      <c r="D20" s="3"/>
      <c r="E20" s="3"/>
      <c r="F20" s="3"/>
      <c r="H20" s="6" t="s">
        <v>108</v>
      </c>
      <c r="I20" t="s">
        <v>78</v>
      </c>
      <c r="J20" t="s">
        <v>73</v>
      </c>
      <c r="L20" s="6" t="s">
        <v>108</v>
      </c>
      <c r="N20" t="s">
        <v>73</v>
      </c>
      <c r="P20" s="54" t="s">
        <v>276</v>
      </c>
      <c r="R20" t="s">
        <v>73</v>
      </c>
      <c r="T20" s="59" t="s">
        <v>108</v>
      </c>
    </row>
    <row r="21" spans="1:22" ht="13.2" customHeight="1" x14ac:dyDescent="0.3">
      <c r="B21" t="s">
        <v>20</v>
      </c>
      <c r="D21" s="3"/>
      <c r="E21" s="3"/>
      <c r="F21" s="3"/>
    </row>
    <row r="22" spans="1:22" ht="13.2" customHeight="1" x14ac:dyDescent="0.3">
      <c r="D22" s="3"/>
      <c r="E22" s="3"/>
      <c r="F22" s="3"/>
    </row>
    <row r="23" spans="1:22" x14ac:dyDescent="0.3">
      <c r="A23" t="s">
        <v>123</v>
      </c>
      <c r="D23" s="13" t="s">
        <v>14</v>
      </c>
      <c r="E23" s="14" t="s">
        <v>74</v>
      </c>
      <c r="F23" s="3"/>
      <c r="H23" s="7" t="s">
        <v>14</v>
      </c>
      <c r="I23" s="7" t="s">
        <v>74</v>
      </c>
      <c r="J23" s="7"/>
      <c r="K23" s="8"/>
      <c r="L23" s="7" t="s">
        <v>14</v>
      </c>
      <c r="M23" s="7" t="s">
        <v>74</v>
      </c>
      <c r="N23" s="7"/>
      <c r="O23" s="8"/>
      <c r="P23" s="7" t="s">
        <v>14</v>
      </c>
      <c r="Q23" s="7" t="s">
        <v>74</v>
      </c>
      <c r="R23" s="7"/>
      <c r="S23" s="8"/>
      <c r="T23" s="7" t="s">
        <v>14</v>
      </c>
      <c r="U23" s="7" t="s">
        <v>74</v>
      </c>
    </row>
    <row r="24" spans="1:22" x14ac:dyDescent="0.3">
      <c r="A24" t="s">
        <v>123</v>
      </c>
      <c r="B24" s="10" t="s">
        <v>21</v>
      </c>
      <c r="C24" s="11"/>
      <c r="D24" s="10">
        <v>7</v>
      </c>
      <c r="E24" s="15" t="s">
        <v>75</v>
      </c>
      <c r="F24" s="10" t="s">
        <v>124</v>
      </c>
      <c r="G24" s="11"/>
      <c r="H24" s="10"/>
      <c r="I24" s="10"/>
      <c r="J24" s="10"/>
      <c r="K24" s="11"/>
      <c r="L24" s="10"/>
      <c r="M24" s="10"/>
      <c r="N24" s="10"/>
      <c r="O24" s="11"/>
      <c r="P24" s="10"/>
      <c r="Q24" s="10"/>
      <c r="R24" s="10"/>
      <c r="S24" s="11"/>
      <c r="T24" s="10"/>
      <c r="U24" s="10"/>
      <c r="V24" s="10"/>
    </row>
    <row r="25" spans="1:22" x14ac:dyDescent="0.3">
      <c r="B25" t="s">
        <v>22</v>
      </c>
      <c r="E25" s="6" t="s">
        <v>75</v>
      </c>
      <c r="F25" t="s">
        <v>84</v>
      </c>
    </row>
    <row r="26" spans="1:22" x14ac:dyDescent="0.3">
      <c r="A26" t="s">
        <v>123</v>
      </c>
      <c r="B26" t="s">
        <v>23</v>
      </c>
      <c r="E26" s="6" t="s">
        <v>75</v>
      </c>
      <c r="F26" t="s">
        <v>125</v>
      </c>
    </row>
    <row r="27" spans="1:22" x14ac:dyDescent="0.3">
      <c r="B27" t="s">
        <v>24</v>
      </c>
      <c r="E27" s="6" t="s">
        <v>75</v>
      </c>
    </row>
    <row r="28" spans="1:22" x14ac:dyDescent="0.3">
      <c r="B28" t="s">
        <v>25</v>
      </c>
      <c r="E28" s="6" t="s">
        <v>75</v>
      </c>
    </row>
    <row r="29" spans="1:22" x14ac:dyDescent="0.3">
      <c r="B29" t="s">
        <v>26</v>
      </c>
      <c r="E29" s="6" t="s">
        <v>75</v>
      </c>
    </row>
    <row r="30" spans="1:22" x14ac:dyDescent="0.3">
      <c r="B30" t="s">
        <v>27</v>
      </c>
      <c r="E30" s="6" t="s">
        <v>75</v>
      </c>
      <c r="F30" t="s">
        <v>126</v>
      </c>
    </row>
    <row r="31" spans="1:22" x14ac:dyDescent="0.3">
      <c r="B31" t="s">
        <v>28</v>
      </c>
      <c r="E31" s="6" t="s">
        <v>75</v>
      </c>
      <c r="F31" t="s">
        <v>126</v>
      </c>
    </row>
    <row r="32" spans="1:22" x14ac:dyDescent="0.3">
      <c r="A32" t="s">
        <v>123</v>
      </c>
      <c r="B32" t="s">
        <v>29</v>
      </c>
      <c r="D32">
        <v>0.12</v>
      </c>
      <c r="E32" s="6" t="s">
        <v>75</v>
      </c>
      <c r="F32" t="s">
        <v>126</v>
      </c>
    </row>
    <row r="33" spans="1:22" x14ac:dyDescent="0.3">
      <c r="B33" t="s">
        <v>30</v>
      </c>
      <c r="E33" s="6" t="s">
        <v>75</v>
      </c>
      <c r="F33" t="s">
        <v>127</v>
      </c>
    </row>
    <row r="34" spans="1:22" x14ac:dyDescent="0.3">
      <c r="A34" t="s">
        <v>123</v>
      </c>
      <c r="B34" t="s">
        <v>31</v>
      </c>
      <c r="D34">
        <v>0.15</v>
      </c>
      <c r="E34" s="6" t="s">
        <v>75</v>
      </c>
      <c r="F34" t="s">
        <v>126</v>
      </c>
    </row>
    <row r="35" spans="1:22" x14ac:dyDescent="0.3">
      <c r="B35" t="s">
        <v>32</v>
      </c>
      <c r="E35" s="6" t="s">
        <v>75</v>
      </c>
      <c r="F35" t="s">
        <v>126</v>
      </c>
    </row>
    <row r="36" spans="1:22" x14ac:dyDescent="0.3">
      <c r="B36" t="s">
        <v>33</v>
      </c>
      <c r="E36" s="6" t="s">
        <v>79</v>
      </c>
      <c r="F36" t="s">
        <v>83</v>
      </c>
    </row>
    <row r="37" spans="1:22" x14ac:dyDescent="0.3">
      <c r="B37" t="s">
        <v>34</v>
      </c>
      <c r="E37" s="6" t="s">
        <v>79</v>
      </c>
    </row>
    <row r="38" spans="1:22" x14ac:dyDescent="0.3">
      <c r="A38" t="s">
        <v>123</v>
      </c>
      <c r="B38" t="s">
        <v>35</v>
      </c>
      <c r="D38" s="54"/>
      <c r="E38" s="6" t="s">
        <v>75</v>
      </c>
      <c r="F38" t="s">
        <v>277</v>
      </c>
    </row>
    <row r="39" spans="1:22" x14ac:dyDescent="0.3">
      <c r="A39" t="s">
        <v>123</v>
      </c>
      <c r="B39" t="s">
        <v>36</v>
      </c>
      <c r="D39">
        <v>130</v>
      </c>
      <c r="E39" s="6" t="s">
        <v>75</v>
      </c>
      <c r="F39" t="s">
        <v>84</v>
      </c>
      <c r="T39">
        <v>56</v>
      </c>
    </row>
    <row r="40" spans="1:22" x14ac:dyDescent="0.3">
      <c r="A40" t="s">
        <v>123</v>
      </c>
      <c r="B40" t="s">
        <v>38</v>
      </c>
      <c r="D40" s="58"/>
      <c r="E40" s="6" t="s">
        <v>75</v>
      </c>
      <c r="F40" t="s">
        <v>81</v>
      </c>
      <c r="T40">
        <v>71</v>
      </c>
    </row>
    <row r="41" spans="1:22" x14ac:dyDescent="0.3">
      <c r="B41" t="s">
        <v>39</v>
      </c>
      <c r="E41" s="6" t="s">
        <v>75</v>
      </c>
      <c r="F41" t="s">
        <v>81</v>
      </c>
    </row>
    <row r="42" spans="1:22" x14ac:dyDescent="0.3">
      <c r="B42" t="s">
        <v>40</v>
      </c>
      <c r="E42" s="6" t="s">
        <v>75</v>
      </c>
      <c r="F42" t="s">
        <v>81</v>
      </c>
    </row>
    <row r="43" spans="1:22" x14ac:dyDescent="0.3">
      <c r="B43" t="s">
        <v>41</v>
      </c>
      <c r="E43" s="6" t="s">
        <v>75</v>
      </c>
      <c r="F43" t="s">
        <v>127</v>
      </c>
    </row>
    <row r="44" spans="1:22" x14ac:dyDescent="0.3">
      <c r="B44" t="s">
        <v>42</v>
      </c>
      <c r="E44" s="6" t="s">
        <v>75</v>
      </c>
      <c r="F44" t="s">
        <v>81</v>
      </c>
    </row>
    <row r="45" spans="1:22" x14ac:dyDescent="0.3">
      <c r="B45" t="s">
        <v>43</v>
      </c>
      <c r="E45" s="6" t="s">
        <v>75</v>
      </c>
      <c r="F45" t="s">
        <v>81</v>
      </c>
    </row>
    <row r="46" spans="1:22" x14ac:dyDescent="0.3">
      <c r="B46" t="s">
        <v>44</v>
      </c>
      <c r="E46" s="6" t="s">
        <v>75</v>
      </c>
      <c r="F46" t="s">
        <v>82</v>
      </c>
    </row>
    <row r="47" spans="1:22" x14ac:dyDescent="0.3">
      <c r="B47" t="s">
        <v>45</v>
      </c>
      <c r="E47" s="6" t="s">
        <v>75</v>
      </c>
    </row>
    <row r="48" spans="1:22" x14ac:dyDescent="0.3">
      <c r="B48" s="4"/>
      <c r="C48" s="5"/>
      <c r="D48" s="4"/>
      <c r="E48" s="4"/>
      <c r="F48" s="4"/>
      <c r="G48" s="5"/>
      <c r="H48" s="4"/>
      <c r="I48" s="4"/>
      <c r="J48" s="4"/>
      <c r="K48" s="5"/>
      <c r="L48" s="4"/>
      <c r="M48" s="4"/>
      <c r="N48" s="4"/>
      <c r="O48" s="5"/>
      <c r="P48" s="4"/>
      <c r="Q48" s="4"/>
      <c r="R48" s="4"/>
      <c r="S48" s="5"/>
      <c r="T48" s="4"/>
      <c r="U48" s="4"/>
      <c r="V48" s="4"/>
    </row>
    <row r="49" spans="1:6" x14ac:dyDescent="0.3">
      <c r="A49" t="s">
        <v>123</v>
      </c>
      <c r="B49" t="s">
        <v>53</v>
      </c>
      <c r="D49" t="s">
        <v>276</v>
      </c>
      <c r="E49" s="6" t="s">
        <v>79</v>
      </c>
      <c r="F49" t="s">
        <v>81</v>
      </c>
    </row>
    <row r="50" spans="1:6" x14ac:dyDescent="0.3">
      <c r="A50" t="s">
        <v>123</v>
      </c>
      <c r="B50" t="s">
        <v>54</v>
      </c>
      <c r="D50">
        <v>23</v>
      </c>
      <c r="E50" s="6" t="s">
        <v>79</v>
      </c>
      <c r="F50" t="s">
        <v>83</v>
      </c>
    </row>
    <row r="51" spans="1:6" x14ac:dyDescent="0.3">
      <c r="A51" t="s">
        <v>123</v>
      </c>
      <c r="B51" t="s">
        <v>47</v>
      </c>
      <c r="D51" t="s">
        <v>276</v>
      </c>
      <c r="E51" s="6" t="s">
        <v>79</v>
      </c>
      <c r="F51" t="s">
        <v>80</v>
      </c>
    </row>
    <row r="52" spans="1:6" x14ac:dyDescent="0.3">
      <c r="A52" t="s">
        <v>123</v>
      </c>
      <c r="B52" t="s">
        <v>48</v>
      </c>
      <c r="D52">
        <v>1.2</v>
      </c>
      <c r="E52" s="6" t="s">
        <v>79</v>
      </c>
      <c r="F52" t="s">
        <v>81</v>
      </c>
    </row>
    <row r="53" spans="1:6" x14ac:dyDescent="0.3">
      <c r="A53" t="s">
        <v>123</v>
      </c>
      <c r="B53" t="s">
        <v>49</v>
      </c>
      <c r="D53">
        <v>6.4</v>
      </c>
      <c r="E53" s="6" t="s">
        <v>79</v>
      </c>
      <c r="F53" t="s">
        <v>81</v>
      </c>
    </row>
    <row r="54" spans="1:6" x14ac:dyDescent="0.3">
      <c r="A54" t="s">
        <v>123</v>
      </c>
      <c r="B54" t="s">
        <v>50</v>
      </c>
      <c r="D54" t="s">
        <v>276</v>
      </c>
      <c r="E54" s="6" t="s">
        <v>79</v>
      </c>
      <c r="F54" t="s">
        <v>81</v>
      </c>
    </row>
    <row r="55" spans="1:6" x14ac:dyDescent="0.3">
      <c r="A55" t="s">
        <v>123</v>
      </c>
      <c r="B55" t="s">
        <v>56</v>
      </c>
      <c r="D55" t="s">
        <v>276</v>
      </c>
      <c r="E55" s="6" t="s">
        <v>79</v>
      </c>
      <c r="F55" t="s">
        <v>80</v>
      </c>
    </row>
    <row r="56" spans="1:6" x14ac:dyDescent="0.3">
      <c r="A56" t="s">
        <v>123</v>
      </c>
      <c r="B56" t="s">
        <v>57</v>
      </c>
      <c r="D56" t="s">
        <v>276</v>
      </c>
      <c r="E56" s="6" t="s">
        <v>79</v>
      </c>
      <c r="F56" t="s">
        <v>81</v>
      </c>
    </row>
    <row r="57" spans="1:6" x14ac:dyDescent="0.3">
      <c r="A57" t="s">
        <v>123</v>
      </c>
      <c r="B57" t="s">
        <v>55</v>
      </c>
      <c r="D57" t="s">
        <v>276</v>
      </c>
      <c r="E57" s="6" t="s">
        <v>79</v>
      </c>
      <c r="F57" t="s">
        <v>80</v>
      </c>
    </row>
    <row r="58" spans="1:6" x14ac:dyDescent="0.3">
      <c r="A58" t="s">
        <v>123</v>
      </c>
      <c r="B58" t="s">
        <v>52</v>
      </c>
      <c r="D58">
        <v>20</v>
      </c>
      <c r="E58" s="6" t="s">
        <v>79</v>
      </c>
      <c r="F58" t="s">
        <v>83</v>
      </c>
    </row>
    <row r="59" spans="1:6" x14ac:dyDescent="0.3">
      <c r="B59" s="10" t="s">
        <v>64</v>
      </c>
      <c r="C59" s="11"/>
      <c r="D59" s="10"/>
      <c r="E59" s="15" t="s">
        <v>79</v>
      </c>
      <c r="F59" s="10" t="s">
        <v>83</v>
      </c>
    </row>
    <row r="60" spans="1:6" x14ac:dyDescent="0.3">
      <c r="B60" s="12" t="s">
        <v>59</v>
      </c>
      <c r="C60" s="16"/>
      <c r="D60" s="12"/>
      <c r="E60" s="17" t="s">
        <v>79</v>
      </c>
      <c r="F60" s="12" t="s">
        <v>81</v>
      </c>
    </row>
    <row r="61" spans="1:6" x14ac:dyDescent="0.3">
      <c r="B61" t="s">
        <v>65</v>
      </c>
      <c r="E61" s="6" t="s">
        <v>79</v>
      </c>
      <c r="F61" t="s">
        <v>81</v>
      </c>
    </row>
    <row r="62" spans="1:6" x14ac:dyDescent="0.3">
      <c r="B62" t="s">
        <v>70</v>
      </c>
      <c r="E62" s="6" t="s">
        <v>79</v>
      </c>
      <c r="F62" t="s">
        <v>84</v>
      </c>
    </row>
    <row r="63" spans="1:6" x14ac:dyDescent="0.3">
      <c r="B63" t="s">
        <v>61</v>
      </c>
      <c r="E63" s="6" t="s">
        <v>79</v>
      </c>
      <c r="F63" t="s">
        <v>83</v>
      </c>
    </row>
    <row r="64" spans="1:6" x14ac:dyDescent="0.3">
      <c r="B64" t="s">
        <v>58</v>
      </c>
      <c r="E64" s="6" t="s">
        <v>79</v>
      </c>
      <c r="F64" t="s">
        <v>83</v>
      </c>
    </row>
    <row r="65" spans="1:6" x14ac:dyDescent="0.3">
      <c r="B65" t="s">
        <v>60</v>
      </c>
      <c r="E65" s="6" t="s">
        <v>79</v>
      </c>
      <c r="F65" t="s">
        <v>84</v>
      </c>
    </row>
    <row r="66" spans="1:6" x14ac:dyDescent="0.3">
      <c r="B66" t="s">
        <v>62</v>
      </c>
      <c r="E66" s="6" t="s">
        <v>79</v>
      </c>
      <c r="F66" t="s">
        <v>73</v>
      </c>
    </row>
    <row r="67" spans="1:6" x14ac:dyDescent="0.3">
      <c r="A67" t="s">
        <v>123</v>
      </c>
      <c r="B67" t="s">
        <v>51</v>
      </c>
      <c r="D67">
        <v>4.5</v>
      </c>
      <c r="E67" s="6" t="s">
        <v>79</v>
      </c>
      <c r="F67" t="s">
        <v>82</v>
      </c>
    </row>
    <row r="68" spans="1:6" x14ac:dyDescent="0.3">
      <c r="B68" t="s">
        <v>63</v>
      </c>
      <c r="E68" s="6" t="s">
        <v>79</v>
      </c>
      <c r="F68" t="s">
        <v>83</v>
      </c>
    </row>
    <row r="69" spans="1:6" x14ac:dyDescent="0.3">
      <c r="A69" t="s">
        <v>123</v>
      </c>
      <c r="B69" t="s">
        <v>66</v>
      </c>
      <c r="D69">
        <v>12</v>
      </c>
      <c r="E69" s="6" t="s">
        <v>79</v>
      </c>
      <c r="F69" t="s">
        <v>83</v>
      </c>
    </row>
    <row r="70" spans="1:6" x14ac:dyDescent="0.3">
      <c r="B70" t="s">
        <v>71</v>
      </c>
      <c r="E70" s="6" t="s">
        <v>79</v>
      </c>
      <c r="F70" t="s">
        <v>83</v>
      </c>
    </row>
    <row r="71" spans="1:6" x14ac:dyDescent="0.3">
      <c r="B71" t="s">
        <v>69</v>
      </c>
      <c r="E71" s="6" t="s">
        <v>79</v>
      </c>
      <c r="F71" t="s">
        <v>82</v>
      </c>
    </row>
    <row r="72" spans="1:6" x14ac:dyDescent="0.3">
      <c r="B72" t="s">
        <v>67</v>
      </c>
      <c r="E72" s="6" t="s">
        <v>79</v>
      </c>
      <c r="F72" t="s">
        <v>83</v>
      </c>
    </row>
    <row r="73" spans="1:6" x14ac:dyDescent="0.3">
      <c r="B73" t="s">
        <v>68</v>
      </c>
      <c r="E73" s="6" t="s">
        <v>79</v>
      </c>
      <c r="F73" t="s">
        <v>82</v>
      </c>
    </row>
    <row r="74" spans="1:6" x14ac:dyDescent="0.3">
      <c r="B74" t="s">
        <v>46</v>
      </c>
      <c r="E74" s="6" t="s">
        <v>79</v>
      </c>
    </row>
  </sheetData>
  <autoFilter ref="A1:A74" xr:uid="{5E6984B8-1E16-4E3D-A2E2-D9F9701720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F8B0-2708-4C95-AF8C-5535BF48AC7F}">
  <dimension ref="A1:B51"/>
  <sheetViews>
    <sheetView tabSelected="1" topLeftCell="A13" workbookViewId="0">
      <selection activeCell="A13" sqref="A13"/>
    </sheetView>
  </sheetViews>
  <sheetFormatPr defaultRowHeight="14.4" x14ac:dyDescent="0.3"/>
  <cols>
    <col min="1" max="1" width="94.5546875" style="20" customWidth="1"/>
    <col min="2" max="2" width="8.88671875" style="30"/>
  </cols>
  <sheetData>
    <row r="1" spans="1:1" ht="18" x14ac:dyDescent="0.35">
      <c r="A1" s="18" t="s">
        <v>85</v>
      </c>
    </row>
    <row r="2" spans="1:1" ht="18" x14ac:dyDescent="0.35">
      <c r="A2" s="19" t="s">
        <v>86</v>
      </c>
    </row>
    <row r="3" spans="1:1" ht="18" x14ac:dyDescent="0.35">
      <c r="A3" s="19" t="s">
        <v>87</v>
      </c>
    </row>
    <row r="6" spans="1:1" x14ac:dyDescent="0.3">
      <c r="A6" s="20" t="s">
        <v>88</v>
      </c>
    </row>
    <row r="7" spans="1:1" x14ac:dyDescent="0.3">
      <c r="A7" s="21" t="s">
        <v>89</v>
      </c>
    </row>
    <row r="8" spans="1:1" x14ac:dyDescent="0.3">
      <c r="A8" s="21" t="s">
        <v>90</v>
      </c>
    </row>
    <row r="9" spans="1:1" x14ac:dyDescent="0.3">
      <c r="A9" s="22" t="str">
        <f>'Data Entry'!D5</f>
        <v>Cadillac WWTP</v>
      </c>
    </row>
    <row r="10" spans="1:1" x14ac:dyDescent="0.3">
      <c r="A10" s="21" t="s">
        <v>278</v>
      </c>
    </row>
    <row r="11" spans="1:1" x14ac:dyDescent="0.3">
      <c r="A11" s="21" t="s">
        <v>279</v>
      </c>
    </row>
    <row r="12" spans="1:1" x14ac:dyDescent="0.3">
      <c r="A12" s="21" t="s">
        <v>280</v>
      </c>
    </row>
    <row r="13" spans="1:1" x14ac:dyDescent="0.3">
      <c r="A13" s="23" t="s">
        <v>281</v>
      </c>
    </row>
    <row r="14" spans="1:1" x14ac:dyDescent="0.3">
      <c r="A14" s="21"/>
    </row>
    <row r="15" spans="1:1" x14ac:dyDescent="0.3">
      <c r="A15" s="21"/>
    </row>
    <row r="16" spans="1:1" ht="15.6" x14ac:dyDescent="0.3">
      <c r="A16" s="24" t="s">
        <v>91</v>
      </c>
    </row>
    <row r="17" spans="1:2" ht="15.6" x14ac:dyDescent="0.3">
      <c r="A17" s="25"/>
    </row>
    <row r="18" spans="1:2" ht="31.2" x14ac:dyDescent="0.3">
      <c r="A18" s="26" t="s">
        <v>282</v>
      </c>
    </row>
    <row r="19" spans="1:2" ht="15.6" x14ac:dyDescent="0.3">
      <c r="A19" s="26"/>
    </row>
    <row r="20" spans="1:2" ht="15.6" x14ac:dyDescent="0.3">
      <c r="A20" s="26" t="s">
        <v>92</v>
      </c>
    </row>
    <row r="21" spans="1:2" ht="15.6" x14ac:dyDescent="0.3">
      <c r="A21" s="27"/>
    </row>
    <row r="22" spans="1:2" ht="31.2" hidden="1" x14ac:dyDescent="0.3">
      <c r="A22" s="28" t="s">
        <v>93</v>
      </c>
      <c r="B22" s="30" t="s">
        <v>98</v>
      </c>
    </row>
    <row r="23" spans="1:2" ht="15.6" hidden="1" x14ac:dyDescent="0.3">
      <c r="A23" s="29"/>
    </row>
    <row r="24" spans="1:2" ht="15.6" x14ac:dyDescent="0.3">
      <c r="A24" s="26" t="s">
        <v>94</v>
      </c>
    </row>
    <row r="25" spans="1:2" ht="15.6" x14ac:dyDescent="0.3">
      <c r="A25" s="29"/>
    </row>
    <row r="26" spans="1:2" ht="31.2" x14ac:dyDescent="0.3">
      <c r="A26" s="26" t="s">
        <v>95</v>
      </c>
    </row>
    <row r="27" spans="1:2" ht="15.6" x14ac:dyDescent="0.3">
      <c r="A27" s="27"/>
    </row>
    <row r="28" spans="1:2" ht="31.2" x14ac:dyDescent="0.3">
      <c r="A28" s="26" t="s">
        <v>283</v>
      </c>
    </row>
    <row r="29" spans="1:2" ht="15.6" x14ac:dyDescent="0.3">
      <c r="A29" s="27"/>
    </row>
    <row r="30" spans="1:2" ht="31.2" x14ac:dyDescent="0.3">
      <c r="A30" s="26" t="s">
        <v>100</v>
      </c>
    </row>
    <row r="31" spans="1:2" ht="15.6" x14ac:dyDescent="0.3">
      <c r="A31" s="25"/>
    </row>
    <row r="32" spans="1:2" ht="15.6" hidden="1" x14ac:dyDescent="0.3">
      <c r="A32" s="26" t="s">
        <v>96</v>
      </c>
      <c r="B32" s="30" t="s">
        <v>99</v>
      </c>
    </row>
    <row r="33" spans="1:2" x14ac:dyDescent="0.3">
      <c r="A33" s="21"/>
    </row>
    <row r="34" spans="1:2" ht="78" hidden="1" x14ac:dyDescent="0.3">
      <c r="A34" s="26" t="s">
        <v>97</v>
      </c>
      <c r="B34" s="30" t="s">
        <v>99</v>
      </c>
    </row>
    <row r="35" spans="1:2" x14ac:dyDescent="0.3">
      <c r="A35" s="21"/>
    </row>
    <row r="36" spans="1:2" x14ac:dyDescent="0.3">
      <c r="A36" s="21"/>
    </row>
    <row r="37" spans="1:2" x14ac:dyDescent="0.3">
      <c r="A37" s="21"/>
    </row>
    <row r="38" spans="1:2" x14ac:dyDescent="0.3">
      <c r="A38" s="21"/>
    </row>
    <row r="39" spans="1:2" x14ac:dyDescent="0.3">
      <c r="A39" s="21"/>
    </row>
    <row r="40" spans="1:2" x14ac:dyDescent="0.3">
      <c r="A40" s="21"/>
    </row>
    <row r="41" spans="1:2" x14ac:dyDescent="0.3">
      <c r="A41" s="21"/>
    </row>
    <row r="42" spans="1:2" x14ac:dyDescent="0.3">
      <c r="A42" s="21"/>
    </row>
    <row r="43" spans="1:2" x14ac:dyDescent="0.3">
      <c r="A43" s="21"/>
    </row>
    <row r="44" spans="1:2" x14ac:dyDescent="0.3">
      <c r="A44" s="21"/>
    </row>
    <row r="45" spans="1:2" x14ac:dyDescent="0.3">
      <c r="A45" s="21"/>
    </row>
    <row r="46" spans="1:2" x14ac:dyDescent="0.3">
      <c r="A46" s="21"/>
    </row>
    <row r="47" spans="1:2" x14ac:dyDescent="0.3">
      <c r="A47" s="21"/>
    </row>
    <row r="48" spans="1:2" x14ac:dyDescent="0.3">
      <c r="A48" s="21"/>
    </row>
    <row r="49" spans="1:1" x14ac:dyDescent="0.3">
      <c r="A49" s="21"/>
    </row>
    <row r="50" spans="1:1" x14ac:dyDescent="0.3">
      <c r="A50" s="21"/>
    </row>
    <row r="51" spans="1:1" x14ac:dyDescent="0.3">
      <c r="A51" s="21"/>
    </row>
  </sheetData>
  <sheetProtection algorithmName="SHA-512" hashValue="yPEW9aPCuIuaq93ssrTQEsi56FGFVZY7RxdIKtx6CCYzM84pl/CkjkTDG3bfKuaz6u5rsoEQ1w8B7wSMKwQBFg==" saltValue="Y7gOMsPLXwRhEDW+tAWmzA==" spinCount="100000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919F-4E1E-4FFB-AB01-2FE64F48D54B}">
  <dimension ref="A4:F32"/>
  <sheetViews>
    <sheetView zoomScale="70" zoomScaleNormal="70" workbookViewId="0">
      <selection activeCell="I13" sqref="I13"/>
    </sheetView>
  </sheetViews>
  <sheetFormatPr defaultRowHeight="15.6" x14ac:dyDescent="0.3"/>
  <cols>
    <col min="1" max="1" width="26.6640625" style="31" customWidth="1"/>
    <col min="2" max="2" width="4.6640625" style="31" customWidth="1"/>
    <col min="3" max="3" width="26.6640625" style="31" customWidth="1"/>
    <col min="4" max="4" width="4.6640625" style="31" customWidth="1"/>
    <col min="5" max="5" width="26.5546875" style="31" customWidth="1"/>
    <col min="6" max="6" width="8.88671875" style="31"/>
  </cols>
  <sheetData>
    <row r="4" spans="1:5" x14ac:dyDescent="0.3">
      <c r="A4" s="32" t="s">
        <v>101</v>
      </c>
    </row>
    <row r="6" spans="1:5" x14ac:dyDescent="0.3">
      <c r="A6" s="31" t="s">
        <v>102</v>
      </c>
    </row>
    <row r="8" spans="1:5" x14ac:dyDescent="0.3">
      <c r="A8" s="33" t="s">
        <v>103</v>
      </c>
      <c r="B8" s="32"/>
      <c r="C8" s="33" t="s">
        <v>104</v>
      </c>
      <c r="D8" s="32"/>
      <c r="E8" s="33" t="s">
        <v>105</v>
      </c>
    </row>
    <row r="9" spans="1:5" ht="62.4" x14ac:dyDescent="0.3">
      <c r="A9" s="34" t="s">
        <v>284</v>
      </c>
      <c r="B9" s="35"/>
      <c r="C9" s="36" t="s">
        <v>106</v>
      </c>
      <c r="D9" s="37"/>
      <c r="E9" s="38" t="s">
        <v>107</v>
      </c>
    </row>
    <row r="10" spans="1:5" x14ac:dyDescent="0.3">
      <c r="A10" s="34"/>
      <c r="B10" s="39"/>
      <c r="C10" s="36"/>
      <c r="D10" s="40"/>
      <c r="E10" s="38"/>
    </row>
    <row r="11" spans="1:5" ht="46.8" x14ac:dyDescent="0.3">
      <c r="A11" s="34" t="s">
        <v>285</v>
      </c>
      <c r="B11" s="39"/>
      <c r="C11" s="41" t="s">
        <v>108</v>
      </c>
      <c r="D11" s="40"/>
      <c r="E11" s="38" t="s">
        <v>109</v>
      </c>
    </row>
    <row r="12" spans="1:5" x14ac:dyDescent="0.3">
      <c r="A12" s="34"/>
      <c r="B12" s="39"/>
      <c r="C12" s="36"/>
      <c r="D12" s="40"/>
      <c r="E12" s="38"/>
    </row>
    <row r="13" spans="1:5" ht="78" x14ac:dyDescent="0.3">
      <c r="A13" s="34" t="s">
        <v>286</v>
      </c>
      <c r="B13" s="39"/>
      <c r="C13" s="41" t="s">
        <v>108</v>
      </c>
      <c r="D13" s="40"/>
      <c r="E13" s="38" t="s">
        <v>109</v>
      </c>
    </row>
    <row r="14" spans="1:5" x14ac:dyDescent="0.3">
      <c r="A14" s="34"/>
      <c r="B14" s="39"/>
      <c r="C14" s="36"/>
      <c r="D14" s="40"/>
      <c r="E14" s="38"/>
    </row>
    <row r="15" spans="1:5" hidden="1" x14ac:dyDescent="0.3">
      <c r="A15" s="34"/>
      <c r="B15" s="39"/>
      <c r="C15" s="36"/>
      <c r="D15" s="40"/>
      <c r="E15" s="38"/>
    </row>
    <row r="16" spans="1:5" hidden="1" x14ac:dyDescent="0.3">
      <c r="A16" s="34"/>
      <c r="B16" s="39"/>
      <c r="C16" s="36"/>
      <c r="D16" s="40"/>
      <c r="E16" s="38"/>
    </row>
    <row r="17" spans="1:6" hidden="1" x14ac:dyDescent="0.3">
      <c r="A17" s="34"/>
      <c r="C17" s="42"/>
      <c r="E17" s="34"/>
    </row>
    <row r="18" spans="1:6" ht="16.2" hidden="1" x14ac:dyDescent="0.3">
      <c r="A18" s="43" t="s">
        <v>110</v>
      </c>
      <c r="B18" s="43"/>
      <c r="C18" s="43"/>
      <c r="D18" s="43"/>
      <c r="E18" s="43"/>
      <c r="F18" s="31" t="s">
        <v>111</v>
      </c>
    </row>
    <row r="19" spans="1:6" ht="16.2" hidden="1" x14ac:dyDescent="0.3"/>
    <row r="20" spans="1:6" hidden="1" x14ac:dyDescent="0.3">
      <c r="A20" s="31" t="s">
        <v>112</v>
      </c>
      <c r="F20" s="31" t="s">
        <v>111</v>
      </c>
    </row>
    <row r="21" spans="1:6" hidden="1" x14ac:dyDescent="0.3"/>
    <row r="22" spans="1:6" x14ac:dyDescent="0.3">
      <c r="A22" s="31" t="s">
        <v>113</v>
      </c>
    </row>
    <row r="24" spans="1:6" x14ac:dyDescent="0.3">
      <c r="A24" s="31" t="s">
        <v>114</v>
      </c>
    </row>
    <row r="26" spans="1:6" ht="30.6" customHeight="1" x14ac:dyDescent="0.3">
      <c r="A26" s="44" t="s">
        <v>118</v>
      </c>
      <c r="B26" s="44"/>
      <c r="C26" s="44"/>
      <c r="D26" s="44"/>
      <c r="E26" s="44"/>
    </row>
    <row r="28" spans="1:6" hidden="1" x14ac:dyDescent="0.3">
      <c r="A28" s="45" t="s">
        <v>115</v>
      </c>
      <c r="B28" s="45"/>
      <c r="C28" s="45"/>
      <c r="D28" s="45"/>
      <c r="E28" s="45"/>
      <c r="F28" s="31" t="s">
        <v>111</v>
      </c>
    </row>
    <row r="29" spans="1:6" hidden="1" x14ac:dyDescent="0.3"/>
    <row r="30" spans="1:6" hidden="1" x14ac:dyDescent="0.3">
      <c r="A30" s="45" t="s">
        <v>116</v>
      </c>
      <c r="B30" s="45"/>
      <c r="C30" s="45"/>
      <c r="D30" s="45"/>
      <c r="E30" s="45"/>
      <c r="F30" s="31" t="s">
        <v>111</v>
      </c>
    </row>
    <row r="31" spans="1:6" hidden="1" x14ac:dyDescent="0.3"/>
    <row r="32" spans="1:6" hidden="1" x14ac:dyDescent="0.3">
      <c r="A32" s="46" t="s">
        <v>117</v>
      </c>
      <c r="B32" s="46"/>
      <c r="F32" s="31" t="s">
        <v>111</v>
      </c>
    </row>
  </sheetData>
  <sheetProtection algorithmName="SHA-512" hashValue="ZX5bMQIE3+zVwRpOFAnXMB4vF67avP2YAeVq0NnLW1szw8asSpDB0slgg+WbdkOFGAiiPsAJqd6S0Z9vnV+egg==" saltValue="3MmWyWuUK9uo0X/ysjGT2A==" spinCount="100000" sheet="1" objects="1" scenarios="1"/>
  <mergeCells count="5">
    <mergeCell ref="A18:E18"/>
    <mergeCell ref="A26:E26"/>
    <mergeCell ref="A28:E28"/>
    <mergeCell ref="A30:E30"/>
    <mergeCell ref="A32:B32"/>
  </mergeCells>
  <pageMargins left="0.7" right="0.7" top="0.75" bottom="0.75" header="0.3" footer="0.3"/>
  <pageSetup orientation="portrait" r:id="rId1"/>
  <headerFoot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F418-2A2C-4967-9611-01708FDEFEF3}">
  <sheetPr filterMode="1"/>
  <dimension ref="A1:I64"/>
  <sheetViews>
    <sheetView topLeftCell="B1" workbookViewId="0">
      <selection activeCell="M9" sqref="M9"/>
    </sheetView>
  </sheetViews>
  <sheetFormatPr defaultRowHeight="14.4" x14ac:dyDescent="0.3"/>
  <cols>
    <col min="1" max="1" width="6.44140625" hidden="1" customWidth="1"/>
    <col min="2" max="2" width="25.88671875" bestFit="1" customWidth="1"/>
    <col min="3" max="3" width="9.5546875" bestFit="1" customWidth="1"/>
    <col min="4" max="4" width="6.77734375" customWidth="1"/>
    <col min="5" max="7" width="8.77734375" customWidth="1"/>
    <col min="8" max="8" width="6.77734375" customWidth="1"/>
    <col min="9" max="9" width="8.77734375" customWidth="1"/>
  </cols>
  <sheetData>
    <row r="1" spans="1:9" x14ac:dyDescent="0.3">
      <c r="A1" t="s">
        <v>123</v>
      </c>
    </row>
    <row r="3" spans="1:9" x14ac:dyDescent="0.3">
      <c r="A3" t="s">
        <v>123</v>
      </c>
    </row>
    <row r="4" spans="1:9" x14ac:dyDescent="0.3">
      <c r="A4" t="s">
        <v>123</v>
      </c>
      <c r="C4" s="47" t="s">
        <v>128</v>
      </c>
      <c r="D4" s="47"/>
      <c r="E4" s="47"/>
      <c r="G4" s="47" t="s">
        <v>287</v>
      </c>
      <c r="H4" s="47"/>
      <c r="I4" s="47"/>
    </row>
    <row r="5" spans="1:9" x14ac:dyDescent="0.3">
      <c r="A5" t="s">
        <v>123</v>
      </c>
      <c r="B5" t="s">
        <v>1</v>
      </c>
      <c r="C5" s="48" t="str">
        <f>'Data Entry'!D6</f>
        <v>001A</v>
      </c>
      <c r="D5" s="48"/>
      <c r="E5" s="48"/>
      <c r="G5" s="48" t="str">
        <f>C5</f>
        <v>001A</v>
      </c>
      <c r="H5" s="48"/>
      <c r="I5" s="48"/>
    </row>
    <row r="6" spans="1:9" x14ac:dyDescent="0.3">
      <c r="A6" t="s">
        <v>123</v>
      </c>
      <c r="B6" t="s">
        <v>119</v>
      </c>
      <c r="C6" s="61">
        <f>'Data Entry'!D7</f>
        <v>43229.430555555555</v>
      </c>
      <c r="D6" s="61"/>
      <c r="E6" s="61"/>
      <c r="G6" s="61">
        <v>43229.291666666664</v>
      </c>
      <c r="H6" s="48"/>
      <c r="I6" s="48"/>
    </row>
    <row r="7" spans="1:9" x14ac:dyDescent="0.3">
      <c r="A7" t="s">
        <v>123</v>
      </c>
      <c r="B7" t="s">
        <v>120</v>
      </c>
      <c r="C7" s="61">
        <f>'Data Entry'!D8</f>
        <v>43230.388888888891</v>
      </c>
      <c r="D7" s="61"/>
      <c r="E7" s="61"/>
      <c r="G7" s="61">
        <v>43230.291666666664</v>
      </c>
      <c r="H7" s="48"/>
      <c r="I7" s="48"/>
    </row>
    <row r="8" spans="1:9" x14ac:dyDescent="0.3">
      <c r="A8" t="s">
        <v>123</v>
      </c>
      <c r="B8" t="s">
        <v>121</v>
      </c>
      <c r="C8" s="48">
        <v>2.14</v>
      </c>
      <c r="D8" s="48"/>
      <c r="E8" s="48"/>
      <c r="G8" s="48">
        <f>C8</f>
        <v>2.14</v>
      </c>
      <c r="H8" s="48"/>
      <c r="I8" s="48"/>
    </row>
    <row r="9" spans="1:9" x14ac:dyDescent="0.3">
      <c r="A9" t="s">
        <v>123</v>
      </c>
      <c r="C9" s="47" t="s">
        <v>14</v>
      </c>
      <c r="D9" s="47"/>
      <c r="E9" s="47"/>
      <c r="G9" s="47" t="s">
        <v>14</v>
      </c>
      <c r="H9" s="47"/>
      <c r="I9" s="47"/>
    </row>
    <row r="10" spans="1:9" x14ac:dyDescent="0.3">
      <c r="A10" t="s">
        <v>123</v>
      </c>
      <c r="C10" s="49" t="s">
        <v>75</v>
      </c>
      <c r="E10" s="49" t="s">
        <v>122</v>
      </c>
      <c r="G10" s="49" t="s">
        <v>75</v>
      </c>
      <c r="I10" s="49" t="s">
        <v>122</v>
      </c>
    </row>
    <row r="11" spans="1:9" x14ac:dyDescent="0.3">
      <c r="A11" t="s">
        <v>123</v>
      </c>
      <c r="B11" s="12" t="s">
        <v>21</v>
      </c>
      <c r="C11" s="6">
        <f>IF('Data Entry'!D24="",'Data Entry'!F24,'Data Entry'!D24)</f>
        <v>7</v>
      </c>
      <c r="D11" s="6"/>
      <c r="E11" s="62">
        <f>IF(ISNUMBER(C11),C11*8.34*$C$8,"NA")</f>
        <v>124.9332</v>
      </c>
      <c r="F11" s="6"/>
      <c r="G11" s="6">
        <v>4</v>
      </c>
      <c r="H11" s="6"/>
      <c r="I11" s="62">
        <f>$G$8*8.34*G11</f>
        <v>71.3904</v>
      </c>
    </row>
    <row r="12" spans="1:9" hidden="1" x14ac:dyDescent="0.3">
      <c r="B12" t="s">
        <v>22</v>
      </c>
      <c r="C12" t="str">
        <f>IF('Data Entry'!D25="",'Data Entry'!F25,'Data Entry'!D25)</f>
        <v>&lt;20 ND</v>
      </c>
      <c r="E12" t="str">
        <f t="shared" ref="E12:E35" si="0">IF(ISNUMBER(C12),C12*8.34*$C$8,"ND Load")</f>
        <v>ND Load</v>
      </c>
      <c r="I12">
        <f t="shared" ref="I12:I35" si="1">$G$8*8.34*G12</f>
        <v>0</v>
      </c>
    </row>
    <row r="13" spans="1:9" x14ac:dyDescent="0.3">
      <c r="A13" t="s">
        <v>123</v>
      </c>
      <c r="B13" t="s">
        <v>23</v>
      </c>
      <c r="C13" s="6" t="str">
        <f>IF('Data Entry'!D26="",'Data Entry'!F26,'Data Entry'!D26)</f>
        <v>&lt;3 ND</v>
      </c>
      <c r="D13" s="6"/>
      <c r="E13" s="62" t="str">
        <f>IF(ISNUMBER(C13),C13*8.34*$C$8,"NA")</f>
        <v>NA</v>
      </c>
      <c r="F13" s="6"/>
      <c r="G13" s="6">
        <v>9.31</v>
      </c>
      <c r="H13" s="6"/>
      <c r="I13" s="62">
        <f t="shared" si="1"/>
        <v>166.16115600000001</v>
      </c>
    </row>
    <row r="14" spans="1:9" hidden="1" x14ac:dyDescent="0.3">
      <c r="B14" t="s">
        <v>24</v>
      </c>
      <c r="C14">
        <f>IF('Data Entry'!D27="",'Data Entry'!F27,'Data Entry'!D27)</f>
        <v>0</v>
      </c>
      <c r="E14">
        <f t="shared" si="0"/>
        <v>0</v>
      </c>
      <c r="I14">
        <f t="shared" si="1"/>
        <v>0</v>
      </c>
    </row>
    <row r="15" spans="1:9" hidden="1" x14ac:dyDescent="0.3">
      <c r="B15" t="s">
        <v>25</v>
      </c>
      <c r="C15">
        <f>IF('Data Entry'!D28="",'Data Entry'!F28,'Data Entry'!D28)</f>
        <v>0</v>
      </c>
      <c r="E15">
        <f t="shared" si="0"/>
        <v>0</v>
      </c>
      <c r="I15">
        <f t="shared" si="1"/>
        <v>0</v>
      </c>
    </row>
    <row r="16" spans="1:9" hidden="1" x14ac:dyDescent="0.3">
      <c r="B16" t="s">
        <v>26</v>
      </c>
      <c r="C16">
        <f>IF('Data Entry'!D29="",'Data Entry'!F29,'Data Entry'!D29)</f>
        <v>0</v>
      </c>
      <c r="E16">
        <f t="shared" si="0"/>
        <v>0</v>
      </c>
      <c r="I16">
        <f t="shared" si="1"/>
        <v>0</v>
      </c>
    </row>
    <row r="17" spans="1:9" hidden="1" x14ac:dyDescent="0.3">
      <c r="B17" t="s">
        <v>27</v>
      </c>
      <c r="C17" t="str">
        <f>IF('Data Entry'!D30="",'Data Entry'!F30,'Data Entry'!D30)</f>
        <v>&lt;0.01 ND</v>
      </c>
      <c r="E17" t="str">
        <f t="shared" si="0"/>
        <v>ND Load</v>
      </c>
      <c r="I17">
        <f t="shared" si="1"/>
        <v>0</v>
      </c>
    </row>
    <row r="18" spans="1:9" hidden="1" x14ac:dyDescent="0.3">
      <c r="B18" t="s">
        <v>28</v>
      </c>
      <c r="C18" t="str">
        <f>IF('Data Entry'!D31="",'Data Entry'!F31,'Data Entry'!D31)</f>
        <v>&lt;0.01 ND</v>
      </c>
      <c r="E18" t="str">
        <f t="shared" si="0"/>
        <v>ND Load</v>
      </c>
      <c r="I18">
        <f t="shared" si="1"/>
        <v>0</v>
      </c>
    </row>
    <row r="19" spans="1:9" x14ac:dyDescent="0.3">
      <c r="A19" t="s">
        <v>123</v>
      </c>
      <c r="B19" t="s">
        <v>29</v>
      </c>
      <c r="C19" s="6">
        <f>IF('Data Entry'!D32="",'Data Entry'!F32,'Data Entry'!D32)</f>
        <v>0.12</v>
      </c>
      <c r="D19" s="6"/>
      <c r="E19" s="62">
        <f>IF(ISNUMBER(C19),C19*8.34*$C$8,"NA")</f>
        <v>2.1417120000000001</v>
      </c>
      <c r="F19" s="6"/>
      <c r="G19" s="6">
        <v>0.55600000000000005</v>
      </c>
      <c r="H19" s="6"/>
      <c r="I19" s="62">
        <f t="shared" si="1"/>
        <v>9.9232656000000006</v>
      </c>
    </row>
    <row r="20" spans="1:9" hidden="1" x14ac:dyDescent="0.3">
      <c r="B20" t="s">
        <v>30</v>
      </c>
      <c r="C20" t="str">
        <f>IF('Data Entry'!D33="",'Data Entry'!F33,'Data Entry'!D33)</f>
        <v>&lt;0.1 ND</v>
      </c>
      <c r="E20" t="str">
        <f t="shared" si="0"/>
        <v>ND Load</v>
      </c>
      <c r="I20">
        <f t="shared" si="1"/>
        <v>0</v>
      </c>
    </row>
    <row r="21" spans="1:9" x14ac:dyDescent="0.3">
      <c r="A21" t="s">
        <v>123</v>
      </c>
      <c r="B21" t="s">
        <v>31</v>
      </c>
      <c r="C21" s="6">
        <f>IF('Data Entry'!D34="",'Data Entry'!F34,'Data Entry'!D34)</f>
        <v>0.15</v>
      </c>
      <c r="D21" s="6"/>
      <c r="E21" s="62">
        <f>IF(ISNUMBER(C21),C21*8.34*$C$8,"NA")</f>
        <v>2.6771400000000001</v>
      </c>
      <c r="F21" s="6"/>
      <c r="G21" s="6">
        <v>0.111</v>
      </c>
      <c r="H21" s="6"/>
      <c r="I21" s="62">
        <f t="shared" si="1"/>
        <v>1.9810836000000001</v>
      </c>
    </row>
    <row r="22" spans="1:9" hidden="1" x14ac:dyDescent="0.3">
      <c r="B22" t="s">
        <v>32</v>
      </c>
      <c r="C22" t="str">
        <f>IF('Data Entry'!D35="",'Data Entry'!F35,'Data Entry'!D35)</f>
        <v>&lt;0.01 ND</v>
      </c>
      <c r="E22" t="str">
        <f t="shared" si="0"/>
        <v>ND Load</v>
      </c>
      <c r="I22">
        <f t="shared" si="1"/>
        <v>0</v>
      </c>
    </row>
    <row r="23" spans="1:9" hidden="1" x14ac:dyDescent="0.3">
      <c r="B23" t="s">
        <v>33</v>
      </c>
      <c r="C23" t="str">
        <f>IF('Data Entry'!D36="",'Data Entry'!F36,'Data Entry'!D36)</f>
        <v>&lt;5 ND</v>
      </c>
      <c r="E23" t="str">
        <f t="shared" si="0"/>
        <v>ND Load</v>
      </c>
      <c r="I23">
        <f t="shared" si="1"/>
        <v>0</v>
      </c>
    </row>
    <row r="24" spans="1:9" hidden="1" x14ac:dyDescent="0.3">
      <c r="B24" t="s">
        <v>34</v>
      </c>
      <c r="C24">
        <f>IF('Data Entry'!D37="",'Data Entry'!F37,'Data Entry'!D37)</f>
        <v>0</v>
      </c>
      <c r="E24">
        <f t="shared" si="0"/>
        <v>0</v>
      </c>
      <c r="I24">
        <f t="shared" si="1"/>
        <v>0</v>
      </c>
    </row>
    <row r="25" spans="1:9" x14ac:dyDescent="0.3">
      <c r="A25" t="s">
        <v>123</v>
      </c>
      <c r="B25" t="s">
        <v>35</v>
      </c>
      <c r="C25" s="6" t="str">
        <f>IF('Data Entry'!D38="",'Data Entry'!F38,'Data Entry'!D38)</f>
        <v>&lt;0.002 ND</v>
      </c>
      <c r="D25" s="6"/>
      <c r="E25" s="62" t="str">
        <f t="shared" ref="E25:E26" si="2">IF(ISNUMBER(C25),C25*8.34*$C$8,"NA")</f>
        <v>NA</v>
      </c>
      <c r="F25" s="6"/>
      <c r="G25" s="59" t="s">
        <v>108</v>
      </c>
      <c r="H25" s="6"/>
      <c r="I25" s="59" t="s">
        <v>108</v>
      </c>
    </row>
    <row r="26" spans="1:9" x14ac:dyDescent="0.3">
      <c r="A26" t="s">
        <v>123</v>
      </c>
      <c r="B26" t="s">
        <v>36</v>
      </c>
      <c r="C26" s="6">
        <f>IF('Data Entry'!D39="",'Data Entry'!F39,'Data Entry'!D39)</f>
        <v>130</v>
      </c>
      <c r="D26" s="6"/>
      <c r="E26" s="62">
        <f t="shared" si="2"/>
        <v>2320.1880000000001</v>
      </c>
      <c r="F26" s="6"/>
      <c r="G26" s="59" t="s">
        <v>108</v>
      </c>
      <c r="H26" s="6"/>
      <c r="I26" s="59" t="s">
        <v>108</v>
      </c>
    </row>
    <row r="27" spans="1:9" hidden="1" x14ac:dyDescent="0.3">
      <c r="B27" t="s">
        <v>37</v>
      </c>
      <c r="C27" t="e">
        <f>IF('Data Entry'!#REF!="",'Data Entry'!#REF!,'Data Entry'!#REF!)</f>
        <v>#REF!</v>
      </c>
      <c r="E27" t="str">
        <f>IF(ISNUMBER(C27),C27*8.34*$C$8,"ND Load")</f>
        <v>ND Load</v>
      </c>
      <c r="I27">
        <f t="shared" si="1"/>
        <v>0</v>
      </c>
    </row>
    <row r="28" spans="1:9" hidden="1" x14ac:dyDescent="0.3">
      <c r="B28" t="s">
        <v>38</v>
      </c>
      <c r="C28" t="str">
        <f>IF('Data Entry'!D40="",'Data Entry'!F40,'Data Entry'!D40)</f>
        <v>&lt;1 ND</v>
      </c>
      <c r="E28" t="str">
        <f t="shared" si="0"/>
        <v>ND Load</v>
      </c>
      <c r="I28">
        <f t="shared" si="1"/>
        <v>0</v>
      </c>
    </row>
    <row r="29" spans="1:9" hidden="1" x14ac:dyDescent="0.3">
      <c r="B29" t="s">
        <v>39</v>
      </c>
      <c r="C29" t="str">
        <f>IF('Data Entry'!D41="",'Data Entry'!F41,'Data Entry'!D41)</f>
        <v>&lt;1 ND</v>
      </c>
      <c r="E29" t="str">
        <f t="shared" si="0"/>
        <v>ND Load</v>
      </c>
      <c r="I29">
        <f t="shared" si="1"/>
        <v>0</v>
      </c>
    </row>
    <row r="30" spans="1:9" hidden="1" x14ac:dyDescent="0.3">
      <c r="B30" t="s">
        <v>40</v>
      </c>
      <c r="C30" t="str">
        <f>IF('Data Entry'!D42="",'Data Entry'!F42,'Data Entry'!D42)</f>
        <v>&lt;1 ND</v>
      </c>
      <c r="E30" t="str">
        <f t="shared" si="0"/>
        <v>ND Load</v>
      </c>
      <c r="I30">
        <f t="shared" si="1"/>
        <v>0</v>
      </c>
    </row>
    <row r="31" spans="1:9" hidden="1" x14ac:dyDescent="0.3">
      <c r="B31" t="s">
        <v>41</v>
      </c>
      <c r="C31" t="str">
        <f>IF('Data Entry'!D43="",'Data Entry'!F43,'Data Entry'!D43)</f>
        <v>&lt;0.1 ND</v>
      </c>
      <c r="E31" t="str">
        <f t="shared" si="0"/>
        <v>ND Load</v>
      </c>
      <c r="I31">
        <f t="shared" si="1"/>
        <v>0</v>
      </c>
    </row>
    <row r="32" spans="1:9" hidden="1" x14ac:dyDescent="0.3">
      <c r="B32" t="s">
        <v>42</v>
      </c>
      <c r="C32" t="str">
        <f>IF('Data Entry'!D44="",'Data Entry'!F44,'Data Entry'!D44)</f>
        <v>&lt;1 ND</v>
      </c>
      <c r="E32" t="str">
        <f t="shared" si="0"/>
        <v>ND Load</v>
      </c>
      <c r="I32">
        <f t="shared" si="1"/>
        <v>0</v>
      </c>
    </row>
    <row r="33" spans="1:9" hidden="1" x14ac:dyDescent="0.3">
      <c r="B33" t="s">
        <v>43</v>
      </c>
      <c r="C33" t="str">
        <f>IF('Data Entry'!D45="",'Data Entry'!F45,'Data Entry'!D45)</f>
        <v>&lt;1 ND</v>
      </c>
      <c r="E33" t="str">
        <f t="shared" si="0"/>
        <v>ND Load</v>
      </c>
      <c r="I33">
        <f t="shared" si="1"/>
        <v>0</v>
      </c>
    </row>
    <row r="34" spans="1:9" hidden="1" x14ac:dyDescent="0.3">
      <c r="B34" t="s">
        <v>44</v>
      </c>
      <c r="C34" t="str">
        <f>IF('Data Entry'!D46="",'Data Entry'!F46,'Data Entry'!D46)</f>
        <v>&lt;2 ND</v>
      </c>
      <c r="E34" t="str">
        <f t="shared" si="0"/>
        <v>ND Load</v>
      </c>
      <c r="I34">
        <f t="shared" si="1"/>
        <v>0</v>
      </c>
    </row>
    <row r="35" spans="1:9" hidden="1" x14ac:dyDescent="0.3">
      <c r="B35" t="s">
        <v>45</v>
      </c>
      <c r="C35">
        <f>IF('Data Entry'!D47="",'Data Entry'!F47,'Data Entry'!D47)</f>
        <v>0</v>
      </c>
      <c r="E35">
        <f t="shared" si="0"/>
        <v>0</v>
      </c>
      <c r="I35">
        <f t="shared" si="1"/>
        <v>0</v>
      </c>
    </row>
    <row r="36" spans="1:9" x14ac:dyDescent="0.3">
      <c r="A36" t="s">
        <v>123</v>
      </c>
    </row>
    <row r="37" spans="1:9" x14ac:dyDescent="0.3">
      <c r="A37" t="s">
        <v>123</v>
      </c>
    </row>
    <row r="38" spans="1:9" x14ac:dyDescent="0.3">
      <c r="A38" t="s">
        <v>123</v>
      </c>
      <c r="C38" s="50" t="s">
        <v>79</v>
      </c>
      <c r="E38" s="49" t="s">
        <v>122</v>
      </c>
      <c r="G38" s="50" t="s">
        <v>79</v>
      </c>
      <c r="I38" s="49" t="s">
        <v>122</v>
      </c>
    </row>
    <row r="39" spans="1:9" x14ac:dyDescent="0.3">
      <c r="A39" t="s">
        <v>123</v>
      </c>
      <c r="B39" t="s">
        <v>53</v>
      </c>
      <c r="C39" s="6" t="str">
        <f>IF('Data Entry'!D49="ND",'Data Entry'!F49,'Data Entry'!D49)</f>
        <v>&lt;1 ND</v>
      </c>
      <c r="D39" s="6"/>
      <c r="E39" s="6" t="str">
        <f>IF(ISNUMBER(C39),(C39/1000)*8.34*$C$8,"NA")</f>
        <v>NA</v>
      </c>
      <c r="F39" s="6"/>
      <c r="G39" s="59" t="s">
        <v>108</v>
      </c>
      <c r="H39" s="6"/>
      <c r="I39" s="6" t="s">
        <v>108</v>
      </c>
    </row>
    <row r="40" spans="1:9" x14ac:dyDescent="0.3">
      <c r="A40" t="s">
        <v>123</v>
      </c>
      <c r="B40" t="s">
        <v>54</v>
      </c>
      <c r="C40" s="6">
        <f>IF('Data Entry'!D50="ND",'Data Entry'!F50,'Data Entry'!D50)</f>
        <v>23</v>
      </c>
      <c r="D40" s="6"/>
      <c r="E40" s="62">
        <f t="shared" ref="E40:E48" si="3">IF(ISNUMBER(C40),(C40/1000)*8.34*$C$8,"NA")</f>
        <v>0.41049479999999999</v>
      </c>
      <c r="F40" s="6"/>
      <c r="G40" s="59" t="s">
        <v>108</v>
      </c>
      <c r="H40" s="6"/>
      <c r="I40" s="6" t="s">
        <v>108</v>
      </c>
    </row>
    <row r="41" spans="1:9" x14ac:dyDescent="0.3">
      <c r="A41" t="s">
        <v>123</v>
      </c>
      <c r="B41" t="s">
        <v>47</v>
      </c>
      <c r="C41" s="6" t="str">
        <f>IF('Data Entry'!D51="ND",'Data Entry'!F51,'Data Entry'!D51)</f>
        <v>&lt;0.2 ND</v>
      </c>
      <c r="D41" s="6"/>
      <c r="E41" s="6" t="str">
        <f t="shared" si="3"/>
        <v>NA</v>
      </c>
      <c r="F41" s="6"/>
      <c r="G41" s="59" t="s">
        <v>108</v>
      </c>
      <c r="H41" s="6"/>
      <c r="I41" s="6" t="s">
        <v>108</v>
      </c>
    </row>
    <row r="42" spans="1:9" x14ac:dyDescent="0.3">
      <c r="A42" t="s">
        <v>123</v>
      </c>
      <c r="B42" t="s">
        <v>48</v>
      </c>
      <c r="C42" s="6">
        <f>IF('Data Entry'!D52="ND",'Data Entry'!F52,'Data Entry'!D52)</f>
        <v>1.2</v>
      </c>
      <c r="D42" s="6"/>
      <c r="E42" s="62">
        <f t="shared" si="3"/>
        <v>2.1417120000000001E-2</v>
      </c>
      <c r="F42" s="6"/>
      <c r="G42" s="59" t="s">
        <v>108</v>
      </c>
      <c r="H42" s="6"/>
      <c r="I42" s="6" t="s">
        <v>108</v>
      </c>
    </row>
    <row r="43" spans="1:9" x14ac:dyDescent="0.3">
      <c r="A43" t="s">
        <v>123</v>
      </c>
      <c r="B43" t="s">
        <v>49</v>
      </c>
      <c r="C43" s="6">
        <f>IF('Data Entry'!D53="ND",'Data Entry'!F53,'Data Entry'!D53)</f>
        <v>6.4</v>
      </c>
      <c r="D43" s="6"/>
      <c r="E43" s="62">
        <f t="shared" si="3"/>
        <v>0.11422464</v>
      </c>
      <c r="F43" s="6"/>
      <c r="G43" s="59" t="s">
        <v>108</v>
      </c>
      <c r="H43" s="6"/>
      <c r="I43" s="6" t="s">
        <v>108</v>
      </c>
    </row>
    <row r="44" spans="1:9" x14ac:dyDescent="0.3">
      <c r="A44" t="s">
        <v>123</v>
      </c>
      <c r="B44" t="s">
        <v>50</v>
      </c>
      <c r="C44" s="6" t="str">
        <f>IF('Data Entry'!D54="ND",'Data Entry'!F54,'Data Entry'!D54)</f>
        <v>&lt;1 ND</v>
      </c>
      <c r="D44" s="6"/>
      <c r="E44" s="6" t="str">
        <f t="shared" si="3"/>
        <v>NA</v>
      </c>
      <c r="F44" s="6"/>
      <c r="G44" s="59" t="s">
        <v>108</v>
      </c>
      <c r="H44" s="6"/>
      <c r="I44" s="6" t="s">
        <v>108</v>
      </c>
    </row>
    <row r="45" spans="1:9" x14ac:dyDescent="0.3">
      <c r="A45" t="s">
        <v>123</v>
      </c>
      <c r="B45" t="s">
        <v>56</v>
      </c>
      <c r="C45" s="6" t="str">
        <f>IF('Data Entry'!D55="ND",'Data Entry'!F55,'Data Entry'!D55)</f>
        <v>&lt;0.2 ND</v>
      </c>
      <c r="D45" s="6"/>
      <c r="E45" s="6" t="str">
        <f t="shared" si="3"/>
        <v>NA</v>
      </c>
      <c r="F45" s="6"/>
      <c r="G45" s="59" t="s">
        <v>108</v>
      </c>
      <c r="H45" s="6"/>
      <c r="I45" s="6" t="s">
        <v>108</v>
      </c>
    </row>
    <row r="46" spans="1:9" x14ac:dyDescent="0.3">
      <c r="A46" t="s">
        <v>123</v>
      </c>
      <c r="B46" t="s">
        <v>57</v>
      </c>
      <c r="C46" s="6" t="str">
        <f>IF('Data Entry'!D56="ND",'Data Entry'!F56,'Data Entry'!D56)</f>
        <v>&lt;1 ND</v>
      </c>
      <c r="D46" s="6"/>
      <c r="E46" s="6" t="str">
        <f t="shared" si="3"/>
        <v>NA</v>
      </c>
      <c r="F46" s="6"/>
      <c r="G46" s="59" t="s">
        <v>108</v>
      </c>
      <c r="H46" s="6"/>
      <c r="I46" s="6" t="s">
        <v>108</v>
      </c>
    </row>
    <row r="47" spans="1:9" x14ac:dyDescent="0.3">
      <c r="A47" t="s">
        <v>123</v>
      </c>
      <c r="B47" t="s">
        <v>55</v>
      </c>
      <c r="C47" s="6" t="str">
        <f>IF('Data Entry'!D57="ND",'Data Entry'!F57,'Data Entry'!D57)</f>
        <v>&lt;0.2 ND</v>
      </c>
      <c r="D47" s="6"/>
      <c r="E47" s="6" t="str">
        <f t="shared" si="3"/>
        <v>NA</v>
      </c>
      <c r="F47" s="6"/>
      <c r="G47" s="59" t="s">
        <v>108</v>
      </c>
      <c r="H47" s="6"/>
      <c r="I47" s="6" t="s">
        <v>108</v>
      </c>
    </row>
    <row r="48" spans="1:9" x14ac:dyDescent="0.3">
      <c r="A48" t="s">
        <v>123</v>
      </c>
      <c r="B48" t="s">
        <v>52</v>
      </c>
      <c r="C48" s="6">
        <f>IF('Data Entry'!D58="ND",'Data Entry'!F58,'Data Entry'!D58)</f>
        <v>20</v>
      </c>
      <c r="D48" s="6"/>
      <c r="E48" s="62">
        <f t="shared" si="3"/>
        <v>0.35695200000000005</v>
      </c>
      <c r="F48" s="6"/>
      <c r="G48" s="59" t="s">
        <v>108</v>
      </c>
      <c r="H48" s="6"/>
      <c r="I48" s="6" t="s">
        <v>108</v>
      </c>
    </row>
    <row r="49" spans="1:9" hidden="1" x14ac:dyDescent="0.3">
      <c r="B49" s="10" t="s">
        <v>64</v>
      </c>
      <c r="C49" t="str">
        <f>IF('Data Entry'!D59="",'Data Entry'!F59,'Data Entry'!D59)</f>
        <v>&lt;5 ND</v>
      </c>
      <c r="E49" t="str">
        <f t="shared" ref="E40:E64" si="4">IF(ISNUMBER(C49),(C49/1000)*8.34*$C$8,"ND Load")</f>
        <v>ND Load</v>
      </c>
      <c r="I49">
        <f t="shared" ref="I40:I63" si="5">(G49/1000)*8.34*$G$8</f>
        <v>0</v>
      </c>
    </row>
    <row r="50" spans="1:9" hidden="1" x14ac:dyDescent="0.3">
      <c r="B50" s="12" t="s">
        <v>59</v>
      </c>
      <c r="C50" t="str">
        <f>IF('Data Entry'!D60="",'Data Entry'!F60,'Data Entry'!D60)</f>
        <v>&lt;1 ND</v>
      </c>
      <c r="E50" t="str">
        <f t="shared" si="4"/>
        <v>ND Load</v>
      </c>
      <c r="I50">
        <f t="shared" si="5"/>
        <v>0</v>
      </c>
    </row>
    <row r="51" spans="1:9" hidden="1" x14ac:dyDescent="0.3">
      <c r="B51" t="s">
        <v>65</v>
      </c>
      <c r="C51" t="str">
        <f>IF('Data Entry'!D61="",'Data Entry'!F61,'Data Entry'!D61)</f>
        <v>&lt;1 ND</v>
      </c>
      <c r="E51" t="str">
        <f t="shared" si="4"/>
        <v>ND Load</v>
      </c>
      <c r="I51">
        <f t="shared" si="5"/>
        <v>0</v>
      </c>
    </row>
    <row r="52" spans="1:9" hidden="1" x14ac:dyDescent="0.3">
      <c r="B52" t="s">
        <v>70</v>
      </c>
      <c r="C52" t="str">
        <f>IF('Data Entry'!D62="",'Data Entry'!F62,'Data Entry'!D62)</f>
        <v>&lt;20 ND</v>
      </c>
      <c r="E52" t="str">
        <f t="shared" si="4"/>
        <v>ND Load</v>
      </c>
      <c r="I52">
        <f t="shared" si="5"/>
        <v>0</v>
      </c>
    </row>
    <row r="53" spans="1:9" hidden="1" x14ac:dyDescent="0.3">
      <c r="B53" t="s">
        <v>61</v>
      </c>
      <c r="C53" t="str">
        <f>IF('Data Entry'!D63="",'Data Entry'!F63,'Data Entry'!D63)</f>
        <v>&lt;5 ND</v>
      </c>
      <c r="E53" t="str">
        <f t="shared" si="4"/>
        <v>ND Load</v>
      </c>
      <c r="I53">
        <f>(G53/1000)*8.34*$G$8</f>
        <v>0</v>
      </c>
    </row>
    <row r="54" spans="1:9" hidden="1" x14ac:dyDescent="0.3">
      <c r="B54" t="s">
        <v>58</v>
      </c>
      <c r="C54" t="str">
        <f>IF('Data Entry'!D64="",'Data Entry'!F64,'Data Entry'!D64)</f>
        <v>&lt;5 ND</v>
      </c>
      <c r="E54" t="str">
        <f t="shared" si="4"/>
        <v>ND Load</v>
      </c>
      <c r="I54">
        <f t="shared" si="5"/>
        <v>0</v>
      </c>
    </row>
    <row r="55" spans="1:9" hidden="1" x14ac:dyDescent="0.3">
      <c r="B55" t="s">
        <v>60</v>
      </c>
      <c r="C55" t="str">
        <f>IF('Data Entry'!D65="",'Data Entry'!F65,'Data Entry'!D65)</f>
        <v>&lt;20 ND</v>
      </c>
      <c r="E55" t="str">
        <f t="shared" si="4"/>
        <v>ND Load</v>
      </c>
      <c r="I55">
        <f t="shared" si="5"/>
        <v>0</v>
      </c>
    </row>
    <row r="56" spans="1:9" hidden="1" x14ac:dyDescent="0.3">
      <c r="B56" t="s">
        <v>62</v>
      </c>
      <c r="C56" t="str">
        <f>IF('Data Entry'!D66="",'Data Entry'!F66,'Data Entry'!D66)</f>
        <v>&lt;10 ND</v>
      </c>
      <c r="E56" t="str">
        <f t="shared" si="4"/>
        <v>ND Load</v>
      </c>
      <c r="I56">
        <f t="shared" si="5"/>
        <v>0</v>
      </c>
    </row>
    <row r="57" spans="1:9" x14ac:dyDescent="0.3">
      <c r="A57" t="s">
        <v>123</v>
      </c>
      <c r="B57" t="s">
        <v>51</v>
      </c>
      <c r="C57" s="6">
        <f>IF('Data Entry'!D67="ND",'Data Entry'!F67,'Data Entry'!D67)</f>
        <v>4.5</v>
      </c>
      <c r="D57" s="6"/>
      <c r="E57" s="62">
        <f>IF(ISNUMBER(C57),(C57/1000)*8.34*$C$8,"NA")</f>
        <v>8.0314199999999988E-2</v>
      </c>
      <c r="F57" s="6"/>
      <c r="G57" s="59" t="s">
        <v>108</v>
      </c>
      <c r="H57" s="6"/>
      <c r="I57" s="6" t="s">
        <v>108</v>
      </c>
    </row>
    <row r="58" spans="1:9" hidden="1" x14ac:dyDescent="0.3">
      <c r="B58" t="s">
        <v>63</v>
      </c>
      <c r="C58" t="str">
        <f>IF('Data Entry'!D68="",'Data Entry'!F68,'Data Entry'!D68)</f>
        <v>&lt;5 ND</v>
      </c>
      <c r="E58" t="str">
        <f t="shared" si="4"/>
        <v>ND Load</v>
      </c>
      <c r="I58">
        <f t="shared" si="5"/>
        <v>0</v>
      </c>
    </row>
    <row r="59" spans="1:9" x14ac:dyDescent="0.3">
      <c r="A59" t="s">
        <v>123</v>
      </c>
      <c r="B59" t="s">
        <v>66</v>
      </c>
      <c r="C59" s="6">
        <f>IF('Data Entry'!D69="ND",'Data Entry'!F69,'Data Entry'!D69)</f>
        <v>12</v>
      </c>
      <c r="D59" s="6"/>
      <c r="E59" s="62">
        <f>IF(ISNUMBER(C59),(C59/1000)*8.34*$C$8,"NA")</f>
        <v>0.21417120000000001</v>
      </c>
      <c r="F59" s="6"/>
      <c r="G59" s="59" t="s">
        <v>108</v>
      </c>
      <c r="H59" s="6"/>
      <c r="I59" s="6" t="s">
        <v>108</v>
      </c>
    </row>
    <row r="60" spans="1:9" hidden="1" x14ac:dyDescent="0.3">
      <c r="B60" t="s">
        <v>71</v>
      </c>
      <c r="C60" t="str">
        <f>IF('Data Entry'!D70="",'Data Entry'!F70,'Data Entry'!D70)</f>
        <v>&lt;5 ND</v>
      </c>
      <c r="E60" t="str">
        <f t="shared" si="4"/>
        <v>ND Load</v>
      </c>
      <c r="I60">
        <f t="shared" si="5"/>
        <v>0</v>
      </c>
    </row>
    <row r="61" spans="1:9" hidden="1" x14ac:dyDescent="0.3">
      <c r="B61" t="s">
        <v>69</v>
      </c>
      <c r="C61" t="str">
        <f>IF('Data Entry'!D71="",'Data Entry'!F71,'Data Entry'!D71)</f>
        <v>&lt;2 ND</v>
      </c>
      <c r="E61" t="str">
        <f t="shared" si="4"/>
        <v>ND Load</v>
      </c>
      <c r="I61">
        <f t="shared" si="5"/>
        <v>0</v>
      </c>
    </row>
    <row r="62" spans="1:9" hidden="1" x14ac:dyDescent="0.3">
      <c r="B62" t="s">
        <v>67</v>
      </c>
      <c r="C62" t="str">
        <f>IF('Data Entry'!D72="",'Data Entry'!F72,'Data Entry'!D72)</f>
        <v>&lt;5 ND</v>
      </c>
      <c r="E62" t="str">
        <f t="shared" si="4"/>
        <v>ND Load</v>
      </c>
      <c r="I62">
        <f t="shared" si="5"/>
        <v>0</v>
      </c>
    </row>
    <row r="63" spans="1:9" hidden="1" x14ac:dyDescent="0.3">
      <c r="B63" t="s">
        <v>68</v>
      </c>
      <c r="C63" t="str">
        <f>IF('Data Entry'!D73="",'Data Entry'!F73,'Data Entry'!D73)</f>
        <v>&lt;2 ND</v>
      </c>
      <c r="E63" t="str">
        <f t="shared" si="4"/>
        <v>ND Load</v>
      </c>
      <c r="I63">
        <f t="shared" si="5"/>
        <v>0</v>
      </c>
    </row>
    <row r="64" spans="1:9" hidden="1" x14ac:dyDescent="0.3">
      <c r="B64" t="s">
        <v>46</v>
      </c>
      <c r="C64">
        <f>IF('Data Entry'!D74="",'Data Entry'!F74,'Data Entry'!D74)</f>
        <v>0</v>
      </c>
      <c r="E64">
        <f t="shared" si="4"/>
        <v>0</v>
      </c>
      <c r="I64">
        <f>(G64/1000)*8.34*$G$8</f>
        <v>0</v>
      </c>
    </row>
  </sheetData>
  <sheetProtection algorithmName="SHA-512" hashValue="9zWKScAEcXrXzpW3zqEJu/gI0Pc4WDtSuDH6AOaWZ4rdLeU/GGoYxgoMzQ7DGOTEbOEjUMGskgm52P0bBO4g/Q==" saltValue="a/kc9RTdZEUfuK82DgrgHw==" spinCount="100000" sheet="1" objects="1" scenarios="1"/>
  <autoFilter ref="A1:A64" xr:uid="{F5B478F1-FA56-42E6-B7E2-05AAC9CCE3C9}">
    <filterColumn colId="0">
      <customFilters>
        <customFilter operator="notEqual" val=" "/>
      </customFilters>
    </filterColumn>
  </autoFilter>
  <mergeCells count="12">
    <mergeCell ref="G4:I4"/>
    <mergeCell ref="G5:I5"/>
    <mergeCell ref="G6:I6"/>
    <mergeCell ref="G7:I7"/>
    <mergeCell ref="G8:I8"/>
    <mergeCell ref="G9:I9"/>
    <mergeCell ref="C4:E4"/>
    <mergeCell ref="C5:E5"/>
    <mergeCell ref="C6:E6"/>
    <mergeCell ref="C7:E7"/>
    <mergeCell ref="C8:E8"/>
    <mergeCell ref="C9:E9"/>
  </mergeCells>
  <pageMargins left="0.7" right="0.7" top="0.75" bottom="0.75" header="0.8" footer="0.3"/>
  <pageSetup orientation="portrait" r:id="rId1"/>
  <headerFooter>
    <oddHeader>&amp;C&amp;"-,Bold"&amp;14Table 1 - Composite Sample Results</oddHeader>
    <oddFooter>&amp;CPage &amp;P</oddFooter>
  </headerFooter>
  <ignoredErrors>
    <ignoredError sqref="E13 E19 E21 E57 E5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551D-2C9D-4C10-A357-93B6F18BE6F8}">
  <sheetPr filterMode="1"/>
  <dimension ref="A3:O83"/>
  <sheetViews>
    <sheetView topLeftCell="B1" workbookViewId="0">
      <selection activeCell="B1" sqref="A1:XFD1"/>
    </sheetView>
  </sheetViews>
  <sheetFormatPr defaultRowHeight="14.4" x14ac:dyDescent="0.3"/>
  <cols>
    <col min="1" max="1" width="2.88671875" hidden="1" customWidth="1"/>
    <col min="2" max="2" width="26.109375" customWidth="1"/>
    <col min="3" max="3" width="2.77734375" customWidth="1"/>
    <col min="4" max="4" width="11.33203125" bestFit="1" customWidth="1"/>
    <col min="5" max="5" width="2.77734375" customWidth="1"/>
    <col min="6" max="6" width="10.21875" bestFit="1" customWidth="1"/>
    <col min="7" max="7" width="2.77734375" customWidth="1"/>
    <col min="8" max="8" width="10.33203125" bestFit="1" customWidth="1"/>
    <col min="9" max="9" width="2.77734375" customWidth="1"/>
    <col min="10" max="10" width="12.6640625" bestFit="1" customWidth="1"/>
    <col min="11" max="11" width="4.77734375" customWidth="1"/>
    <col min="12" max="12" width="11" customWidth="1"/>
    <col min="13" max="13" width="4.77734375" customWidth="1"/>
    <col min="14" max="14" width="11" bestFit="1" customWidth="1"/>
  </cols>
  <sheetData>
    <row r="3" spans="1:14" x14ac:dyDescent="0.3">
      <c r="A3" t="s">
        <v>123</v>
      </c>
    </row>
    <row r="4" spans="1:14" x14ac:dyDescent="0.3">
      <c r="A4" t="s">
        <v>123</v>
      </c>
      <c r="D4" s="47" t="s">
        <v>128</v>
      </c>
      <c r="E4" s="47"/>
      <c r="F4" s="47"/>
      <c r="G4" s="47"/>
      <c r="H4" s="47"/>
      <c r="I4" s="47"/>
      <c r="J4" s="47"/>
      <c r="L4" s="47" t="s">
        <v>287</v>
      </c>
      <c r="M4" s="47"/>
      <c r="N4" s="47"/>
    </row>
    <row r="5" spans="1:14" x14ac:dyDescent="0.3">
      <c r="A5" t="s">
        <v>123</v>
      </c>
      <c r="D5" s="6" t="s">
        <v>132</v>
      </c>
      <c r="E5" s="6"/>
      <c r="F5" s="6" t="s">
        <v>133</v>
      </c>
      <c r="G5" s="6"/>
      <c r="H5" s="6" t="s">
        <v>134</v>
      </c>
      <c r="I5" s="6"/>
      <c r="J5" s="6" t="s">
        <v>11</v>
      </c>
      <c r="K5" s="6"/>
      <c r="L5" s="6" t="s">
        <v>135</v>
      </c>
      <c r="M5" s="6"/>
      <c r="N5" s="6" t="s">
        <v>136</v>
      </c>
    </row>
    <row r="6" spans="1:14" x14ac:dyDescent="0.3">
      <c r="A6" t="s">
        <v>123</v>
      </c>
      <c r="B6" t="s">
        <v>1</v>
      </c>
      <c r="D6" s="6" t="str">
        <f>'Data Entry'!D6</f>
        <v>001A</v>
      </c>
      <c r="E6" s="6"/>
      <c r="F6" s="6" t="str">
        <f>'Data Entry'!L6</f>
        <v>001A</v>
      </c>
      <c r="G6" s="6"/>
      <c r="H6" s="6" t="str">
        <f>'Data Entry'!P6</f>
        <v>001A</v>
      </c>
      <c r="I6" s="6"/>
      <c r="J6" s="6" t="s">
        <v>11</v>
      </c>
      <c r="K6" s="6"/>
      <c r="L6" s="6" t="str">
        <f>H6</f>
        <v>001A</v>
      </c>
      <c r="M6" s="6"/>
      <c r="N6" s="6" t="str">
        <f>L6</f>
        <v>001A</v>
      </c>
    </row>
    <row r="7" spans="1:14" x14ac:dyDescent="0.3">
      <c r="A7" t="s">
        <v>123</v>
      </c>
      <c r="B7" t="s">
        <v>129</v>
      </c>
      <c r="D7" s="6" t="str">
        <f>'Data Entry'!H10</f>
        <v>Wastewater</v>
      </c>
      <c r="E7" s="6"/>
      <c r="F7" s="6" t="str">
        <f>'Data Entry'!L10</f>
        <v>Wastewater</v>
      </c>
      <c r="G7" s="6"/>
      <c r="H7" s="6" t="str">
        <f>'Data Entry'!P10</f>
        <v>Wastewater</v>
      </c>
      <c r="I7" s="6"/>
      <c r="J7" s="6" t="s">
        <v>12</v>
      </c>
      <c r="K7" s="6"/>
      <c r="L7" s="6" t="s">
        <v>137</v>
      </c>
      <c r="M7" s="6"/>
      <c r="N7" s="6" t="s">
        <v>137</v>
      </c>
    </row>
    <row r="8" spans="1:14" x14ac:dyDescent="0.3">
      <c r="A8" t="s">
        <v>123</v>
      </c>
      <c r="B8" t="s">
        <v>130</v>
      </c>
      <c r="D8" s="63">
        <f>'Data Entry'!H11</f>
        <v>43229</v>
      </c>
      <c r="E8" s="6"/>
      <c r="F8" s="63">
        <f>'Data Entry'!L11</f>
        <v>43229</v>
      </c>
      <c r="G8" s="6"/>
      <c r="H8" s="63">
        <f>'Data Entry'!P11</f>
        <v>43230</v>
      </c>
      <c r="I8" s="6"/>
      <c r="J8" s="63">
        <f>'Data Entry'!T11</f>
        <v>43229</v>
      </c>
      <c r="K8" s="6"/>
      <c r="L8" s="63">
        <f>D8</f>
        <v>43229</v>
      </c>
      <c r="M8" s="6"/>
      <c r="N8" s="63">
        <f>H8</f>
        <v>43230</v>
      </c>
    </row>
    <row r="9" spans="1:14" x14ac:dyDescent="0.3">
      <c r="A9" t="s">
        <v>123</v>
      </c>
      <c r="B9" t="s">
        <v>131</v>
      </c>
      <c r="D9" s="64">
        <f>'Data Entry'!H12</f>
        <v>0.43055555555555558</v>
      </c>
      <c r="E9" s="6"/>
      <c r="F9" s="64">
        <f>'Data Entry'!L12</f>
        <v>0.64930555555555558</v>
      </c>
      <c r="G9" s="6"/>
      <c r="H9" s="64">
        <f>'Data Entry'!P12</f>
        <v>0.3888888888888889</v>
      </c>
      <c r="I9" s="6"/>
      <c r="J9" s="64">
        <f>'Data Entry'!T12</f>
        <v>0.45833333333333331</v>
      </c>
      <c r="K9" s="6"/>
      <c r="L9" s="65">
        <v>0.29166666666666669</v>
      </c>
      <c r="M9" s="6"/>
      <c r="N9" s="65">
        <v>0.29166666666666669</v>
      </c>
    </row>
    <row r="10" spans="1:14" x14ac:dyDescent="0.3">
      <c r="A10" t="s">
        <v>123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">
      <c r="A11" t="s">
        <v>123</v>
      </c>
      <c r="D11" s="51" t="s">
        <v>14</v>
      </c>
      <c r="E11" s="51"/>
      <c r="F11" s="51"/>
      <c r="G11" s="51"/>
      <c r="H11" s="51"/>
      <c r="I11" s="51"/>
      <c r="J11" s="51"/>
      <c r="K11" s="6"/>
      <c r="L11" s="51" t="s">
        <v>14</v>
      </c>
      <c r="M11" s="51"/>
      <c r="N11" s="51"/>
    </row>
    <row r="12" spans="1:14" x14ac:dyDescent="0.3">
      <c r="A12" t="s">
        <v>123</v>
      </c>
      <c r="B12" t="s">
        <v>15</v>
      </c>
      <c r="D12" s="6">
        <f>'Data Entry'!H15</f>
        <v>61</v>
      </c>
      <c r="E12" s="6"/>
      <c r="F12" s="6">
        <f>'Data Entry'!L15</f>
        <v>59</v>
      </c>
      <c r="G12" s="6"/>
      <c r="H12" s="6">
        <f>'Data Entry'!P15</f>
        <v>62</v>
      </c>
      <c r="I12" s="6"/>
      <c r="J12" s="6">
        <f>'Data Entry'!T15</f>
        <v>62</v>
      </c>
      <c r="K12" s="6"/>
      <c r="L12" s="59" t="s">
        <v>108</v>
      </c>
      <c r="M12" s="6"/>
      <c r="N12" s="59" t="s">
        <v>108</v>
      </c>
    </row>
    <row r="13" spans="1:14" x14ac:dyDescent="0.3">
      <c r="A13" t="s">
        <v>123</v>
      </c>
      <c r="B13" t="s">
        <v>16</v>
      </c>
      <c r="D13" s="6">
        <f>'Data Entry'!H16</f>
        <v>6.99</v>
      </c>
      <c r="E13" s="6"/>
      <c r="F13" s="6">
        <f>'Data Entry'!L16</f>
        <v>6.8</v>
      </c>
      <c r="G13" s="6"/>
      <c r="H13" s="6">
        <f>'Data Entry'!P16</f>
        <v>8.17</v>
      </c>
      <c r="I13" s="6"/>
      <c r="J13" s="6">
        <f>'Data Entry'!T16</f>
        <v>7.06</v>
      </c>
      <c r="K13" s="6"/>
      <c r="L13" s="6">
        <v>7.08</v>
      </c>
      <c r="M13" s="6"/>
      <c r="N13" s="6">
        <v>6.94</v>
      </c>
    </row>
    <row r="14" spans="1:14" hidden="1" x14ac:dyDescent="0.3">
      <c r="B14" t="s">
        <v>143</v>
      </c>
      <c r="D14">
        <f>'Data Entry'!H17</f>
        <v>0</v>
      </c>
      <c r="F14">
        <f>'Data Entry'!L17</f>
        <v>0</v>
      </c>
      <c r="H14">
        <f>'Data Entry'!P17</f>
        <v>0</v>
      </c>
      <c r="J14">
        <f>'Data Entry'!T17</f>
        <v>0</v>
      </c>
      <c r="L14" s="58" t="s">
        <v>108</v>
      </c>
      <c r="N14" s="58" t="s">
        <v>108</v>
      </c>
    </row>
    <row r="15" spans="1:14" x14ac:dyDescent="0.3">
      <c r="A15" t="s">
        <v>123</v>
      </c>
      <c r="B15" t="s">
        <v>138</v>
      </c>
      <c r="D15" s="6">
        <f>'Data Entry'!H18</f>
        <v>8.06</v>
      </c>
      <c r="E15" s="6"/>
      <c r="F15" s="6">
        <f>'Data Entry'!L18</f>
        <v>8.44</v>
      </c>
      <c r="G15" s="6"/>
      <c r="H15" s="6">
        <f>'Data Entry'!P18</f>
        <v>8.33</v>
      </c>
      <c r="I15" s="6"/>
      <c r="J15" s="6">
        <f>'Data Entry'!T18</f>
        <v>9.0500000000000007</v>
      </c>
      <c r="K15" s="6"/>
      <c r="L15" s="6">
        <v>8.02</v>
      </c>
      <c r="M15" s="6"/>
      <c r="N15" s="6">
        <v>7.65</v>
      </c>
    </row>
    <row r="16" spans="1:14" hidden="1" x14ac:dyDescent="0.3">
      <c r="B16" t="s">
        <v>37</v>
      </c>
      <c r="D16">
        <f>'Data Entry'!H19</f>
        <v>0</v>
      </c>
      <c r="F16">
        <f>'Data Entry'!L19</f>
        <v>0</v>
      </c>
      <c r="H16">
        <f>'Data Entry'!P19</f>
        <v>0</v>
      </c>
      <c r="J16">
        <f>'Data Entry'!T19</f>
        <v>0</v>
      </c>
      <c r="K16" s="52"/>
    </row>
    <row r="17" spans="1:14" x14ac:dyDescent="0.3">
      <c r="A17" t="s">
        <v>123</v>
      </c>
      <c r="B17" t="s">
        <v>18</v>
      </c>
      <c r="D17" s="6" t="str">
        <f>'Data Entry'!H20</f>
        <v>---</v>
      </c>
      <c r="E17" s="6"/>
      <c r="F17" s="6" t="str">
        <f>'Data Entry'!L20</f>
        <v>---</v>
      </c>
      <c r="G17" s="6"/>
      <c r="H17" s="6" t="str">
        <f>IF(ISNUMBER('Data Entry'!P20),'Data Entry'!P20,'Data Entry'!R20)</f>
        <v>&lt;10 ND</v>
      </c>
      <c r="I17" s="6"/>
      <c r="J17" s="6" t="str">
        <f>'Data Entry'!T20</f>
        <v>---</v>
      </c>
      <c r="K17" s="66"/>
      <c r="L17" s="6">
        <v>1</v>
      </c>
      <c r="M17" s="6"/>
      <c r="N17" s="6" t="s">
        <v>81</v>
      </c>
    </row>
    <row r="18" spans="1:14" hidden="1" x14ac:dyDescent="0.3">
      <c r="B18" t="s">
        <v>19</v>
      </c>
      <c r="D18">
        <f>'Data Entry'!H21</f>
        <v>0</v>
      </c>
      <c r="F18">
        <f>'Data Entry'!L21</f>
        <v>0</v>
      </c>
      <c r="H18">
        <f>'Data Entry'!P21</f>
        <v>0</v>
      </c>
      <c r="J18">
        <f>'Data Entry'!T21</f>
        <v>0</v>
      </c>
      <c r="K18" s="52"/>
    </row>
    <row r="19" spans="1:14" hidden="1" x14ac:dyDescent="0.3">
      <c r="K19" s="52"/>
    </row>
    <row r="20" spans="1:14" hidden="1" x14ac:dyDescent="0.3">
      <c r="B20" t="s">
        <v>139</v>
      </c>
      <c r="K20" s="52"/>
    </row>
    <row r="21" spans="1:14" hidden="1" x14ac:dyDescent="0.3">
      <c r="K21" s="52"/>
      <c r="L21" s="49"/>
      <c r="M21" s="49"/>
      <c r="N21" s="49"/>
    </row>
    <row r="22" spans="1:14" hidden="1" x14ac:dyDescent="0.3">
      <c r="D22" s="51" t="s">
        <v>75</v>
      </c>
      <c r="E22" s="51"/>
      <c r="F22" s="51"/>
      <c r="G22" s="51"/>
      <c r="H22" s="51"/>
      <c r="I22" s="51"/>
      <c r="J22" s="51"/>
      <c r="L22" s="51" t="s">
        <v>75</v>
      </c>
      <c r="M22" s="51"/>
      <c r="N22" s="51"/>
    </row>
    <row r="23" spans="1:14" hidden="1" x14ac:dyDescent="0.3">
      <c r="B23" t="s">
        <v>144</v>
      </c>
    </row>
    <row r="24" spans="1:14" hidden="1" x14ac:dyDescent="0.3">
      <c r="B24" t="s">
        <v>145</v>
      </c>
    </row>
    <row r="25" spans="1:14" hidden="1" x14ac:dyDescent="0.3">
      <c r="B25" t="s">
        <v>146</v>
      </c>
    </row>
    <row r="26" spans="1:14" hidden="1" x14ac:dyDescent="0.3">
      <c r="B26" t="s">
        <v>147</v>
      </c>
    </row>
    <row r="27" spans="1:14" hidden="1" x14ac:dyDescent="0.3">
      <c r="B27" t="s">
        <v>148</v>
      </c>
    </row>
    <row r="28" spans="1:14" hidden="1" x14ac:dyDescent="0.3">
      <c r="B28" t="s">
        <v>149</v>
      </c>
    </row>
    <row r="29" spans="1:14" hidden="1" x14ac:dyDescent="0.3">
      <c r="B29" t="s">
        <v>150</v>
      </c>
    </row>
    <row r="30" spans="1:14" hidden="1" x14ac:dyDescent="0.3">
      <c r="B30" t="s">
        <v>151</v>
      </c>
    </row>
    <row r="31" spans="1:14" hidden="1" x14ac:dyDescent="0.3">
      <c r="B31" t="s">
        <v>153</v>
      </c>
    </row>
    <row r="32" spans="1:14" hidden="1" x14ac:dyDescent="0.3">
      <c r="B32" t="s">
        <v>152</v>
      </c>
    </row>
    <row r="33" spans="2:2" hidden="1" x14ac:dyDescent="0.3">
      <c r="B33" t="s">
        <v>154</v>
      </c>
    </row>
    <row r="34" spans="2:2" hidden="1" x14ac:dyDescent="0.3">
      <c r="B34" t="s">
        <v>155</v>
      </c>
    </row>
    <row r="35" spans="2:2" hidden="1" x14ac:dyDescent="0.3">
      <c r="B35" t="s">
        <v>157</v>
      </c>
    </row>
    <row r="36" spans="2:2" hidden="1" x14ac:dyDescent="0.3">
      <c r="B36" t="s">
        <v>158</v>
      </c>
    </row>
    <row r="37" spans="2:2" hidden="1" x14ac:dyDescent="0.3">
      <c r="B37" t="s">
        <v>159</v>
      </c>
    </row>
    <row r="38" spans="2:2" hidden="1" x14ac:dyDescent="0.3">
      <c r="B38" t="s">
        <v>160</v>
      </c>
    </row>
    <row r="39" spans="2:2" hidden="1" x14ac:dyDescent="0.3">
      <c r="B39" t="s">
        <v>161</v>
      </c>
    </row>
    <row r="40" spans="2:2" hidden="1" x14ac:dyDescent="0.3">
      <c r="B40" t="s">
        <v>162</v>
      </c>
    </row>
    <row r="41" spans="2:2" hidden="1" x14ac:dyDescent="0.3">
      <c r="B41" t="s">
        <v>163</v>
      </c>
    </row>
    <row r="42" spans="2:2" hidden="1" x14ac:dyDescent="0.3">
      <c r="B42" t="s">
        <v>164</v>
      </c>
    </row>
    <row r="43" spans="2:2" hidden="1" x14ac:dyDescent="0.3">
      <c r="B43" t="s">
        <v>165</v>
      </c>
    </row>
    <row r="44" spans="2:2" hidden="1" x14ac:dyDescent="0.3"/>
    <row r="45" spans="2:2" hidden="1" x14ac:dyDescent="0.3"/>
    <row r="46" spans="2:2" hidden="1" x14ac:dyDescent="0.3"/>
    <row r="47" spans="2:2" hidden="1" x14ac:dyDescent="0.3"/>
    <row r="48" spans="2:2" hidden="1" x14ac:dyDescent="0.3"/>
    <row r="49" spans="1:15" hidden="1" x14ac:dyDescent="0.3"/>
    <row r="50" spans="1:15" hidden="1" x14ac:dyDescent="0.3">
      <c r="B50" t="s">
        <v>141</v>
      </c>
    </row>
    <row r="51" spans="1:15" hidden="1" x14ac:dyDescent="0.3">
      <c r="B51" t="s">
        <v>156</v>
      </c>
    </row>
    <row r="52" spans="1:15" x14ac:dyDescent="0.3">
      <c r="A52" t="s">
        <v>123</v>
      </c>
      <c r="B52" t="s">
        <v>288</v>
      </c>
      <c r="D52" s="59" t="s">
        <v>108</v>
      </c>
      <c r="E52" s="6"/>
      <c r="F52" s="59" t="s">
        <v>108</v>
      </c>
      <c r="G52" s="6"/>
      <c r="H52" s="6" t="s">
        <v>277</v>
      </c>
      <c r="I52" s="6"/>
      <c r="J52" s="59" t="s">
        <v>108</v>
      </c>
      <c r="K52" s="6"/>
      <c r="L52" s="59" t="s">
        <v>108</v>
      </c>
      <c r="M52" s="6"/>
      <c r="N52" s="59" t="s">
        <v>289</v>
      </c>
      <c r="O52" t="s">
        <v>290</v>
      </c>
    </row>
    <row r="53" spans="1:15" hidden="1" x14ac:dyDescent="0.3"/>
    <row r="54" spans="1:15" hidden="1" x14ac:dyDescent="0.3">
      <c r="D54" s="51" t="s">
        <v>79</v>
      </c>
      <c r="E54" s="51"/>
      <c r="F54" s="51"/>
      <c r="G54" s="51"/>
      <c r="H54" s="51"/>
      <c r="I54" s="51"/>
      <c r="J54" s="51"/>
      <c r="L54" s="51" t="s">
        <v>79</v>
      </c>
      <c r="M54" s="51"/>
      <c r="N54" s="51"/>
    </row>
    <row r="55" spans="1:15" hidden="1" x14ac:dyDescent="0.3">
      <c r="B55" t="s">
        <v>142</v>
      </c>
    </row>
    <row r="56" spans="1:15" hidden="1" x14ac:dyDescent="0.3">
      <c r="B56" t="s">
        <v>47</v>
      </c>
    </row>
    <row r="57" spans="1:15" hidden="1" x14ac:dyDescent="0.3">
      <c r="B57" t="s">
        <v>48</v>
      </c>
    </row>
    <row r="58" spans="1:15" hidden="1" x14ac:dyDescent="0.3">
      <c r="B58" t="s">
        <v>49</v>
      </c>
    </row>
    <row r="59" spans="1:15" hidden="1" x14ac:dyDescent="0.3">
      <c r="B59" t="s">
        <v>50</v>
      </c>
    </row>
    <row r="60" spans="1:15" hidden="1" x14ac:dyDescent="0.3">
      <c r="B60" t="s">
        <v>51</v>
      </c>
    </row>
    <row r="61" spans="1:15" hidden="1" x14ac:dyDescent="0.3">
      <c r="B61" t="s">
        <v>52</v>
      </c>
    </row>
    <row r="62" spans="1:15" hidden="1" x14ac:dyDescent="0.3">
      <c r="B62" t="s">
        <v>53</v>
      </c>
    </row>
    <row r="63" spans="1:15" hidden="1" x14ac:dyDescent="0.3">
      <c r="B63" t="s">
        <v>54</v>
      </c>
    </row>
    <row r="64" spans="1:15" hidden="1" x14ac:dyDescent="0.3">
      <c r="B64" t="s">
        <v>55</v>
      </c>
    </row>
    <row r="65" spans="2:2" hidden="1" x14ac:dyDescent="0.3">
      <c r="B65" t="s">
        <v>56</v>
      </c>
    </row>
    <row r="66" spans="2:2" hidden="1" x14ac:dyDescent="0.3">
      <c r="B66" t="s">
        <v>57</v>
      </c>
    </row>
    <row r="67" spans="2:2" hidden="1" x14ac:dyDescent="0.3">
      <c r="B67" t="s">
        <v>58</v>
      </c>
    </row>
    <row r="68" spans="2:2" hidden="1" x14ac:dyDescent="0.3">
      <c r="B68" t="s">
        <v>59</v>
      </c>
    </row>
    <row r="69" spans="2:2" hidden="1" x14ac:dyDescent="0.3">
      <c r="B69" t="s">
        <v>60</v>
      </c>
    </row>
    <row r="70" spans="2:2" hidden="1" x14ac:dyDescent="0.3">
      <c r="B70" t="s">
        <v>61</v>
      </c>
    </row>
    <row r="71" spans="2:2" hidden="1" x14ac:dyDescent="0.3">
      <c r="B71" t="s">
        <v>62</v>
      </c>
    </row>
    <row r="72" spans="2:2" hidden="1" x14ac:dyDescent="0.3">
      <c r="B72" t="s">
        <v>63</v>
      </c>
    </row>
    <row r="73" spans="2:2" hidden="1" x14ac:dyDescent="0.3">
      <c r="B73" t="s">
        <v>64</v>
      </c>
    </row>
    <row r="74" spans="2:2" hidden="1" x14ac:dyDescent="0.3">
      <c r="B74" t="s">
        <v>65</v>
      </c>
    </row>
    <row r="75" spans="2:2" hidden="1" x14ac:dyDescent="0.3">
      <c r="B75" t="s">
        <v>66</v>
      </c>
    </row>
    <row r="76" spans="2:2" hidden="1" x14ac:dyDescent="0.3">
      <c r="B76" t="s">
        <v>67</v>
      </c>
    </row>
    <row r="77" spans="2:2" hidden="1" x14ac:dyDescent="0.3">
      <c r="B77" t="s">
        <v>68</v>
      </c>
    </row>
    <row r="78" spans="2:2" hidden="1" x14ac:dyDescent="0.3">
      <c r="B78" t="s">
        <v>69</v>
      </c>
    </row>
    <row r="79" spans="2:2" hidden="1" x14ac:dyDescent="0.3">
      <c r="B79" t="s">
        <v>70</v>
      </c>
    </row>
    <row r="80" spans="2:2" hidden="1" x14ac:dyDescent="0.3">
      <c r="B80" t="s">
        <v>71</v>
      </c>
    </row>
    <row r="81" spans="2:2" hidden="1" x14ac:dyDescent="0.3"/>
    <row r="82" spans="2:2" hidden="1" x14ac:dyDescent="0.3"/>
    <row r="83" spans="2:2" hidden="1" x14ac:dyDescent="0.3">
      <c r="B83" t="s">
        <v>140</v>
      </c>
    </row>
  </sheetData>
  <sheetProtection algorithmName="SHA-512" hashValue="ldL9nber84gsxRfZGSOS87VJQyoYKQaBDvg29KwP196p7QwjeZXipkFf1fJ+BLKCVA8H1AUMkHM6xY4BhkJWrw==" saltValue="U6ICPiDiecHafOAwjdTbMA==" spinCount="100000" sheet="1" objects="1" scenarios="1"/>
  <autoFilter ref="A3:A83" xr:uid="{1EBFDFEE-ABB7-465D-82B0-54ED3268D630}">
    <filterColumn colId="0">
      <customFilters>
        <customFilter operator="notEqual" val=" "/>
      </customFilters>
    </filterColumn>
  </autoFilter>
  <mergeCells count="8">
    <mergeCell ref="D54:J54"/>
    <mergeCell ref="L54:N54"/>
    <mergeCell ref="D4:J4"/>
    <mergeCell ref="L4:N4"/>
    <mergeCell ref="D11:J11"/>
    <mergeCell ref="L11:N11"/>
    <mergeCell ref="D22:J22"/>
    <mergeCell ref="L22:N22"/>
  </mergeCells>
  <pageMargins left="0.7" right="0.7" top="0.75" bottom="0.75" header="0.8" footer="0.3"/>
  <pageSetup orientation="landscape" r:id="rId1"/>
  <headerFooter>
    <oddHeader>&amp;C&amp;"-,Bold"&amp;14Table 2 - Grab Sample Results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8A03-E4BF-472D-807A-6FEEA1668F9E}">
  <sheetPr filterMode="1"/>
  <dimension ref="A1:E64"/>
  <sheetViews>
    <sheetView topLeftCell="B1" workbookViewId="0">
      <selection activeCell="J7" sqref="J7"/>
    </sheetView>
  </sheetViews>
  <sheetFormatPr defaultRowHeight="14.4" x14ac:dyDescent="0.3"/>
  <cols>
    <col min="1" max="1" width="7.33203125" hidden="1" customWidth="1"/>
    <col min="2" max="2" width="30.5546875" customWidth="1"/>
    <col min="3" max="3" width="13.77734375" customWidth="1"/>
    <col min="4" max="4" width="4.33203125" customWidth="1"/>
    <col min="5" max="5" width="13.77734375" customWidth="1"/>
  </cols>
  <sheetData>
    <row r="1" spans="1:5" x14ac:dyDescent="0.3">
      <c r="A1" t="s">
        <v>123</v>
      </c>
    </row>
    <row r="2" spans="1:5" x14ac:dyDescent="0.3">
      <c r="A2" t="s">
        <v>123</v>
      </c>
    </row>
    <row r="4" spans="1:5" x14ac:dyDescent="0.3">
      <c r="A4" t="s">
        <v>123</v>
      </c>
      <c r="C4" s="47" t="s">
        <v>167</v>
      </c>
      <c r="D4" s="47"/>
      <c r="E4" s="47"/>
    </row>
    <row r="5" spans="1:5" x14ac:dyDescent="0.3">
      <c r="A5" t="s">
        <v>123</v>
      </c>
      <c r="B5" t="s">
        <v>1</v>
      </c>
      <c r="C5" s="48" t="str">
        <f>'Table 2 - Grabs'!D6</f>
        <v>001A</v>
      </c>
      <c r="D5" s="48"/>
      <c r="E5" s="48"/>
    </row>
    <row r="6" spans="1:5" x14ac:dyDescent="0.3">
      <c r="A6" t="s">
        <v>123</v>
      </c>
      <c r="B6" t="s">
        <v>166</v>
      </c>
      <c r="C6" s="60">
        <f>'Data Entry'!P11</f>
        <v>43230</v>
      </c>
      <c r="D6" s="60"/>
      <c r="E6" s="60"/>
    </row>
    <row r="7" spans="1:5" x14ac:dyDescent="0.3">
      <c r="A7" t="s">
        <v>123</v>
      </c>
      <c r="B7" t="s">
        <v>131</v>
      </c>
      <c r="C7" s="67">
        <f>'Data Entry'!P12</f>
        <v>0.3888888888888889</v>
      </c>
      <c r="D7" s="48"/>
      <c r="E7" s="48"/>
    </row>
    <row r="8" spans="1:5" x14ac:dyDescent="0.3">
      <c r="A8" t="s">
        <v>123</v>
      </c>
      <c r="C8" s="48"/>
      <c r="D8" s="48"/>
      <c r="E8" s="48"/>
    </row>
    <row r="9" spans="1:5" x14ac:dyDescent="0.3">
      <c r="A9" t="s">
        <v>123</v>
      </c>
      <c r="C9" s="7" t="s">
        <v>168</v>
      </c>
      <c r="D9" s="6"/>
      <c r="E9" s="7" t="s">
        <v>169</v>
      </c>
    </row>
    <row r="10" spans="1:5" x14ac:dyDescent="0.3">
      <c r="A10" t="s">
        <v>123</v>
      </c>
      <c r="C10" s="49" t="s">
        <v>75</v>
      </c>
      <c r="D10" s="6"/>
      <c r="E10" s="49" t="s">
        <v>75</v>
      </c>
    </row>
    <row r="11" spans="1:5" x14ac:dyDescent="0.3">
      <c r="A11" t="s">
        <v>123</v>
      </c>
      <c r="B11" t="s">
        <v>21</v>
      </c>
      <c r="C11" s="6">
        <v>6</v>
      </c>
      <c r="D11" s="6"/>
      <c r="E11" s="6">
        <f>'Table 1 - Composites'!G11</f>
        <v>4</v>
      </c>
    </row>
    <row r="12" spans="1:5" hidden="1" x14ac:dyDescent="0.3">
      <c r="B12" t="s">
        <v>22</v>
      </c>
    </row>
    <row r="13" spans="1:5" hidden="1" x14ac:dyDescent="0.3">
      <c r="B13" t="s">
        <v>23</v>
      </c>
    </row>
    <row r="14" spans="1:5" hidden="1" x14ac:dyDescent="0.3">
      <c r="B14" t="s">
        <v>24</v>
      </c>
    </row>
    <row r="15" spans="1:5" hidden="1" x14ac:dyDescent="0.3">
      <c r="B15" t="s">
        <v>25</v>
      </c>
    </row>
    <row r="16" spans="1:5" hidden="1" x14ac:dyDescent="0.3">
      <c r="B16" t="s">
        <v>26</v>
      </c>
    </row>
    <row r="17" spans="1:5" hidden="1" x14ac:dyDescent="0.3">
      <c r="B17" t="s">
        <v>27</v>
      </c>
    </row>
    <row r="18" spans="1:5" hidden="1" x14ac:dyDescent="0.3">
      <c r="B18" t="s">
        <v>28</v>
      </c>
    </row>
    <row r="19" spans="1:5" x14ac:dyDescent="0.3">
      <c r="A19" t="s">
        <v>123</v>
      </c>
      <c r="B19" t="s">
        <v>29</v>
      </c>
      <c r="C19" s="6">
        <v>0.44</v>
      </c>
      <c r="D19" s="6"/>
      <c r="E19" s="6">
        <f>'Table 1 - Composites'!G19</f>
        <v>0.55600000000000005</v>
      </c>
    </row>
    <row r="20" spans="1:5" hidden="1" x14ac:dyDescent="0.3">
      <c r="B20" t="s">
        <v>30</v>
      </c>
    </row>
    <row r="21" spans="1:5" x14ac:dyDescent="0.3">
      <c r="A21" t="s">
        <v>123</v>
      </c>
      <c r="B21" t="s">
        <v>31</v>
      </c>
      <c r="C21" s="6">
        <v>0.16</v>
      </c>
      <c r="D21" s="6"/>
      <c r="E21" s="6">
        <f>'Table 1 - Composites'!G21</f>
        <v>0.111</v>
      </c>
    </row>
    <row r="22" spans="1:5" hidden="1" x14ac:dyDescent="0.3">
      <c r="B22" t="s">
        <v>32</v>
      </c>
    </row>
    <row r="23" spans="1:5" hidden="1" x14ac:dyDescent="0.3">
      <c r="B23" t="s">
        <v>33</v>
      </c>
    </row>
    <row r="24" spans="1:5" hidden="1" x14ac:dyDescent="0.3">
      <c r="B24" t="s">
        <v>34</v>
      </c>
    </row>
    <row r="25" spans="1:5" x14ac:dyDescent="0.3">
      <c r="A25" t="s">
        <v>123</v>
      </c>
      <c r="B25" t="s">
        <v>36</v>
      </c>
      <c r="C25" s="6">
        <v>130</v>
      </c>
      <c r="D25" s="6"/>
      <c r="E25" s="6" t="str">
        <f>'Table 1 - Composites'!G25</f>
        <v>---</v>
      </c>
    </row>
    <row r="26" spans="1:5" hidden="1" x14ac:dyDescent="0.3">
      <c r="B26" t="s">
        <v>37</v>
      </c>
    </row>
    <row r="27" spans="1:5" hidden="1" x14ac:dyDescent="0.3">
      <c r="B27" t="s">
        <v>38</v>
      </c>
    </row>
    <row r="28" spans="1:5" hidden="1" x14ac:dyDescent="0.3">
      <c r="B28" t="s">
        <v>39</v>
      </c>
    </row>
    <row r="29" spans="1:5" hidden="1" x14ac:dyDescent="0.3">
      <c r="B29" t="s">
        <v>40</v>
      </c>
    </row>
    <row r="30" spans="1:5" hidden="1" x14ac:dyDescent="0.3">
      <c r="B30" t="s">
        <v>41</v>
      </c>
    </row>
    <row r="31" spans="1:5" hidden="1" x14ac:dyDescent="0.3">
      <c r="B31" t="s">
        <v>42</v>
      </c>
    </row>
    <row r="32" spans="1:5" hidden="1" x14ac:dyDescent="0.3">
      <c r="B32" t="s">
        <v>43</v>
      </c>
    </row>
    <row r="33" spans="1:5" hidden="1" x14ac:dyDescent="0.3">
      <c r="B33" t="s">
        <v>44</v>
      </c>
    </row>
    <row r="34" spans="1:5" hidden="1" x14ac:dyDescent="0.3">
      <c r="B34" t="s">
        <v>45</v>
      </c>
    </row>
    <row r="35" spans="1:5" hidden="1" x14ac:dyDescent="0.3">
      <c r="B35" t="s">
        <v>19</v>
      </c>
    </row>
    <row r="36" spans="1:5" hidden="1" x14ac:dyDescent="0.3">
      <c r="B36" t="s">
        <v>18</v>
      </c>
    </row>
    <row r="37" spans="1:5" x14ac:dyDescent="0.3">
      <c r="A37" t="s">
        <v>123</v>
      </c>
      <c r="C37" s="50" t="s">
        <v>79</v>
      </c>
      <c r="D37" s="6"/>
      <c r="E37" s="50" t="s">
        <v>79</v>
      </c>
    </row>
    <row r="38" spans="1:5" x14ac:dyDescent="0.3">
      <c r="A38" t="s">
        <v>123</v>
      </c>
      <c r="B38" t="s">
        <v>53</v>
      </c>
      <c r="C38" s="6" t="s">
        <v>81</v>
      </c>
      <c r="D38" s="6"/>
      <c r="E38" s="59" t="s">
        <v>108</v>
      </c>
    </row>
    <row r="39" spans="1:5" x14ac:dyDescent="0.3">
      <c r="A39" t="s">
        <v>123</v>
      </c>
      <c r="B39" t="s">
        <v>54</v>
      </c>
      <c r="C39" s="6">
        <v>24</v>
      </c>
      <c r="D39" s="6"/>
      <c r="E39" s="59" t="s">
        <v>108</v>
      </c>
    </row>
    <row r="40" spans="1:5" x14ac:dyDescent="0.3">
      <c r="A40" t="s">
        <v>123</v>
      </c>
      <c r="B40" t="s">
        <v>47</v>
      </c>
      <c r="C40" s="6" t="s">
        <v>80</v>
      </c>
      <c r="D40" s="6"/>
      <c r="E40" s="59" t="s">
        <v>108</v>
      </c>
    </row>
    <row r="41" spans="1:5" x14ac:dyDescent="0.3">
      <c r="A41" t="s">
        <v>123</v>
      </c>
      <c r="B41" t="s">
        <v>48</v>
      </c>
      <c r="C41" s="6">
        <v>1.1000000000000001</v>
      </c>
      <c r="D41" s="6"/>
      <c r="E41" s="59" t="s">
        <v>108</v>
      </c>
    </row>
    <row r="42" spans="1:5" x14ac:dyDescent="0.3">
      <c r="A42" t="s">
        <v>123</v>
      </c>
      <c r="B42" t="s">
        <v>49</v>
      </c>
      <c r="C42" s="6">
        <v>7.6</v>
      </c>
      <c r="D42" s="6"/>
      <c r="E42" s="59" t="s">
        <v>108</v>
      </c>
    </row>
    <row r="43" spans="1:5" x14ac:dyDescent="0.3">
      <c r="A43" t="s">
        <v>123</v>
      </c>
      <c r="B43" t="s">
        <v>50</v>
      </c>
      <c r="C43" s="6" t="s">
        <v>81</v>
      </c>
      <c r="D43" s="6"/>
      <c r="E43" s="59" t="s">
        <v>108</v>
      </c>
    </row>
    <row r="44" spans="1:5" x14ac:dyDescent="0.3">
      <c r="A44" t="s">
        <v>123</v>
      </c>
      <c r="B44" t="s">
        <v>56</v>
      </c>
      <c r="C44" s="6" t="s">
        <v>80</v>
      </c>
      <c r="D44" s="6"/>
      <c r="E44" s="59" t="s">
        <v>108</v>
      </c>
    </row>
    <row r="45" spans="1:5" x14ac:dyDescent="0.3">
      <c r="A45" t="s">
        <v>123</v>
      </c>
      <c r="B45" t="s">
        <v>57</v>
      </c>
      <c r="C45" s="6" t="s">
        <v>81</v>
      </c>
      <c r="D45" s="6"/>
      <c r="E45" s="59" t="s">
        <v>108</v>
      </c>
    </row>
    <row r="46" spans="1:5" x14ac:dyDescent="0.3">
      <c r="A46" t="s">
        <v>123</v>
      </c>
      <c r="B46" t="s">
        <v>55</v>
      </c>
      <c r="C46" s="6" t="s">
        <v>80</v>
      </c>
      <c r="D46" s="6"/>
      <c r="E46" s="59" t="s">
        <v>108</v>
      </c>
    </row>
    <row r="47" spans="1:5" x14ac:dyDescent="0.3">
      <c r="A47" t="s">
        <v>123</v>
      </c>
      <c r="B47" t="s">
        <v>52</v>
      </c>
      <c r="C47" s="6">
        <v>20</v>
      </c>
      <c r="D47" s="6"/>
      <c r="E47" s="59" t="s">
        <v>108</v>
      </c>
    </row>
    <row r="48" spans="1:5" hidden="1" x14ac:dyDescent="0.3">
      <c r="B48" s="10" t="s">
        <v>64</v>
      </c>
      <c r="C48" t="str">
        <f>IF('[1]Data Entry'!D59="",'[1]Data Entry'!F59,'[1]Data Entry'!D59)</f>
        <v>&lt;5 ND</v>
      </c>
      <c r="E48" s="58" t="s">
        <v>108</v>
      </c>
    </row>
    <row r="49" spans="1:5" hidden="1" x14ac:dyDescent="0.3">
      <c r="B49" s="12" t="s">
        <v>59</v>
      </c>
      <c r="C49" t="str">
        <f>IF('[1]Data Entry'!D60="",'[1]Data Entry'!F60,'[1]Data Entry'!D60)</f>
        <v>&lt;1 ND</v>
      </c>
      <c r="E49" s="58" t="s">
        <v>108</v>
      </c>
    </row>
    <row r="50" spans="1:5" hidden="1" x14ac:dyDescent="0.3">
      <c r="B50" t="s">
        <v>65</v>
      </c>
      <c r="C50" t="str">
        <f>IF('[1]Data Entry'!D61="",'[1]Data Entry'!F61,'[1]Data Entry'!D61)</f>
        <v>&lt;1 ND</v>
      </c>
      <c r="E50" s="58" t="s">
        <v>108</v>
      </c>
    </row>
    <row r="51" spans="1:5" hidden="1" x14ac:dyDescent="0.3">
      <c r="B51" t="s">
        <v>70</v>
      </c>
      <c r="C51" t="str">
        <f>IF('[1]Data Entry'!D62="",'[1]Data Entry'!F62,'[1]Data Entry'!D62)</f>
        <v>&lt;20 ND</v>
      </c>
      <c r="E51" s="58" t="s">
        <v>108</v>
      </c>
    </row>
    <row r="52" spans="1:5" hidden="1" x14ac:dyDescent="0.3">
      <c r="B52" t="s">
        <v>61</v>
      </c>
      <c r="C52" t="str">
        <f>IF('[1]Data Entry'!D63="",'[1]Data Entry'!F63,'[1]Data Entry'!D63)</f>
        <v>&lt;5 ND</v>
      </c>
      <c r="E52" s="58" t="s">
        <v>108</v>
      </c>
    </row>
    <row r="53" spans="1:5" hidden="1" x14ac:dyDescent="0.3">
      <c r="B53" t="s">
        <v>58</v>
      </c>
      <c r="C53" t="str">
        <f>IF('[1]Data Entry'!D64="",'[1]Data Entry'!F64,'[1]Data Entry'!D64)</f>
        <v>&lt;5 ND</v>
      </c>
      <c r="E53" s="58" t="s">
        <v>108</v>
      </c>
    </row>
    <row r="54" spans="1:5" hidden="1" x14ac:dyDescent="0.3">
      <c r="B54" t="s">
        <v>60</v>
      </c>
      <c r="C54" t="str">
        <f>IF('[1]Data Entry'!D65="",'[1]Data Entry'!F65,'[1]Data Entry'!D65)</f>
        <v>&lt;20 ND</v>
      </c>
      <c r="E54" s="58" t="s">
        <v>108</v>
      </c>
    </row>
    <row r="55" spans="1:5" hidden="1" x14ac:dyDescent="0.3">
      <c r="B55" t="s">
        <v>62</v>
      </c>
      <c r="C55" t="str">
        <f>IF('[1]Data Entry'!D66="",'[1]Data Entry'!F66,'[1]Data Entry'!D66)</f>
        <v>&lt;10 ND</v>
      </c>
      <c r="E55" s="58" t="s">
        <v>108</v>
      </c>
    </row>
    <row r="56" spans="1:5" x14ac:dyDescent="0.3">
      <c r="A56" t="s">
        <v>123</v>
      </c>
      <c r="B56" t="s">
        <v>51</v>
      </c>
      <c r="C56" s="6">
        <v>4.7</v>
      </c>
      <c r="D56" s="6"/>
      <c r="E56" s="59" t="s">
        <v>108</v>
      </c>
    </row>
    <row r="57" spans="1:5" hidden="1" x14ac:dyDescent="0.3">
      <c r="B57" t="s">
        <v>63</v>
      </c>
      <c r="C57" t="str">
        <f>IF('[1]Data Entry'!D68="",'[1]Data Entry'!F68,'[1]Data Entry'!D68)</f>
        <v>&lt;5 ND</v>
      </c>
      <c r="E57" s="58" t="s">
        <v>108</v>
      </c>
    </row>
    <row r="58" spans="1:5" x14ac:dyDescent="0.3">
      <c r="A58" t="s">
        <v>123</v>
      </c>
      <c r="B58" t="s">
        <v>66</v>
      </c>
      <c r="C58" s="6">
        <v>13</v>
      </c>
      <c r="D58" s="6"/>
      <c r="E58" s="59" t="s">
        <v>108</v>
      </c>
    </row>
    <row r="59" spans="1:5" hidden="1" x14ac:dyDescent="0.3">
      <c r="B59" t="s">
        <v>71</v>
      </c>
      <c r="C59" t="str">
        <f>IF('[1]Data Entry'!D70="",'[1]Data Entry'!F70,'[1]Data Entry'!D70)</f>
        <v>&lt;5 ND</v>
      </c>
      <c r="E59" s="58" t="s">
        <v>108</v>
      </c>
    </row>
    <row r="60" spans="1:5" hidden="1" x14ac:dyDescent="0.3">
      <c r="B60" t="s">
        <v>69</v>
      </c>
      <c r="C60" t="str">
        <f>IF('[1]Data Entry'!D71="",'[1]Data Entry'!F71,'[1]Data Entry'!D71)</f>
        <v>&lt;2 ND</v>
      </c>
      <c r="E60" s="58" t="s">
        <v>108</v>
      </c>
    </row>
    <row r="61" spans="1:5" hidden="1" x14ac:dyDescent="0.3">
      <c r="B61" t="s">
        <v>67</v>
      </c>
      <c r="C61" t="str">
        <f>IF('[1]Data Entry'!D72="",'[1]Data Entry'!F72,'[1]Data Entry'!D72)</f>
        <v>&lt;5 ND</v>
      </c>
      <c r="E61" s="58" t="s">
        <v>108</v>
      </c>
    </row>
    <row r="62" spans="1:5" hidden="1" x14ac:dyDescent="0.3">
      <c r="B62" t="s">
        <v>68</v>
      </c>
      <c r="C62" t="str">
        <f>IF('[1]Data Entry'!D73="",'[1]Data Entry'!F73,'[1]Data Entry'!D73)</f>
        <v>&lt;2 ND</v>
      </c>
      <c r="E62" s="58" t="s">
        <v>108</v>
      </c>
    </row>
    <row r="63" spans="1:5" hidden="1" x14ac:dyDescent="0.3">
      <c r="B63" t="s">
        <v>46</v>
      </c>
      <c r="E63" s="58" t="s">
        <v>108</v>
      </c>
    </row>
    <row r="64" spans="1:5" hidden="1" x14ac:dyDescent="0.3"/>
  </sheetData>
  <sheetProtection algorithmName="SHA-512" hashValue="y5TjJYWICCzea3cZpzAPazH16pIQ9olYrEM/iEL/gy99ew5RimoLMeCPDqFrxKb8pVvEtp4K1WZpiAw8RdoIJw==" saltValue="Sq4gu8jGWApTtiEjdXbhMQ==" spinCount="100000" sheet="1" objects="1" scenarios="1"/>
  <autoFilter ref="A1:A64" xr:uid="{9EFEC465-187C-4D57-B0D1-1C2543838E28}">
    <filterColumn colId="0">
      <customFilters>
        <customFilter operator="notEqual" val=" "/>
      </customFilters>
    </filterColumn>
  </autoFilter>
  <mergeCells count="5">
    <mergeCell ref="C4:E4"/>
    <mergeCell ref="C5:E5"/>
    <mergeCell ref="C8:E8"/>
    <mergeCell ref="C6:E6"/>
    <mergeCell ref="C7:E7"/>
  </mergeCells>
  <pageMargins left="0.7" right="0.7" top="0.75" bottom="0.75" header="0.8" footer="0.3"/>
  <pageSetup orientation="portrait" r:id="rId1"/>
  <headerFooter>
    <oddHeader>&amp;C&amp;"-,Bold"&amp;14Table 3 - Composite Split Results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3A08-62C9-479A-A7E5-9ABD35896741}">
  <sheetPr filterMode="1"/>
  <dimension ref="A1:E85"/>
  <sheetViews>
    <sheetView topLeftCell="B1" zoomScale="90" zoomScaleNormal="90" workbookViewId="0">
      <selection sqref="A1:A1048576"/>
    </sheetView>
  </sheetViews>
  <sheetFormatPr defaultRowHeight="14.4" x14ac:dyDescent="0.3"/>
  <cols>
    <col min="1" max="1" width="0" hidden="1" customWidth="1"/>
    <col min="2" max="2" width="27.5546875" bestFit="1" customWidth="1"/>
    <col min="3" max="3" width="15.21875" bestFit="1" customWidth="1"/>
    <col min="4" max="4" width="4.77734375" customWidth="1"/>
    <col min="5" max="5" width="12.77734375" bestFit="1" customWidth="1"/>
  </cols>
  <sheetData>
    <row r="1" spans="1:5" x14ac:dyDescent="0.3">
      <c r="A1" t="s">
        <v>123</v>
      </c>
    </row>
    <row r="2" spans="1:5" x14ac:dyDescent="0.3">
      <c r="A2" t="s">
        <v>123</v>
      </c>
    </row>
    <row r="3" spans="1:5" x14ac:dyDescent="0.3">
      <c r="A3" t="s">
        <v>123</v>
      </c>
    </row>
    <row r="4" spans="1:5" x14ac:dyDescent="0.3">
      <c r="A4" t="s">
        <v>123</v>
      </c>
      <c r="B4" t="s">
        <v>1</v>
      </c>
      <c r="C4" s="48" t="str">
        <f>'Data Entry'!D6</f>
        <v>001A</v>
      </c>
      <c r="D4" s="48"/>
      <c r="E4" s="48"/>
    </row>
    <row r="5" spans="1:5" x14ac:dyDescent="0.3">
      <c r="A5" t="s">
        <v>123</v>
      </c>
      <c r="B5" t="s">
        <v>129</v>
      </c>
      <c r="C5" s="48" t="s">
        <v>137</v>
      </c>
      <c r="D5" s="48"/>
      <c r="E5" s="48"/>
    </row>
    <row r="6" spans="1:5" x14ac:dyDescent="0.3">
      <c r="A6" t="s">
        <v>123</v>
      </c>
      <c r="B6" t="s">
        <v>119</v>
      </c>
      <c r="C6" s="68">
        <v>41926.427083333336</v>
      </c>
      <c r="D6" s="53"/>
      <c r="E6" s="68">
        <f>'Data Entry'!D7</f>
        <v>43229.430555555555</v>
      </c>
    </row>
    <row r="7" spans="1:5" hidden="1" x14ac:dyDescent="0.3">
      <c r="B7" t="s">
        <v>120</v>
      </c>
      <c r="C7" s="53"/>
      <c r="D7" s="53"/>
      <c r="E7" s="68">
        <f>'Data Entry'!D8</f>
        <v>43230.388888888891</v>
      </c>
    </row>
    <row r="8" spans="1:5" x14ac:dyDescent="0.3">
      <c r="A8" t="s">
        <v>123</v>
      </c>
      <c r="C8" s="51" t="s">
        <v>14</v>
      </c>
      <c r="D8" s="51"/>
      <c r="E8" s="51"/>
    </row>
    <row r="9" spans="1:5" x14ac:dyDescent="0.3">
      <c r="A9" t="s">
        <v>123</v>
      </c>
      <c r="C9" s="49" t="s">
        <v>75</v>
      </c>
      <c r="D9" s="6"/>
      <c r="E9" s="49" t="s">
        <v>75</v>
      </c>
    </row>
    <row r="10" spans="1:5" x14ac:dyDescent="0.3">
      <c r="A10" t="s">
        <v>123</v>
      </c>
      <c r="B10" t="s">
        <v>21</v>
      </c>
      <c r="C10" s="6">
        <v>7</v>
      </c>
      <c r="E10" s="6">
        <f>IF(ISNUMBER('Data Entry'!D24),'Data Entry'!D24,'Data Entry'!F24)</f>
        <v>7</v>
      </c>
    </row>
    <row r="11" spans="1:5" ht="14.4" hidden="1" customHeight="1" x14ac:dyDescent="0.3">
      <c r="B11" t="s">
        <v>22</v>
      </c>
      <c r="E11" s="6" t="str">
        <f>IF(ISNUMBER('Data Entry'!D25),'Data Entry'!D25,'Data Entry'!F25)</f>
        <v>&lt;20 ND</v>
      </c>
    </row>
    <row r="12" spans="1:5" x14ac:dyDescent="0.3">
      <c r="A12" t="s">
        <v>123</v>
      </c>
      <c r="B12" t="s">
        <v>23</v>
      </c>
      <c r="C12" s="6">
        <v>4.8</v>
      </c>
      <c r="E12" s="6" t="str">
        <f>IF(ISNUMBER('Data Entry'!D26),'Data Entry'!D26,'Data Entry'!F26)</f>
        <v>&lt;3 ND</v>
      </c>
    </row>
    <row r="13" spans="1:5" ht="14.4" hidden="1" customHeight="1" x14ac:dyDescent="0.3">
      <c r="B13" t="s">
        <v>24</v>
      </c>
      <c r="E13" s="6">
        <f>IF(ISNUMBER('Data Entry'!D27),'Data Entry'!D27,'Data Entry'!F27)</f>
        <v>0</v>
      </c>
    </row>
    <row r="14" spans="1:5" ht="14.4" hidden="1" customHeight="1" x14ac:dyDescent="0.3">
      <c r="B14" t="s">
        <v>25</v>
      </c>
      <c r="E14" s="6">
        <f>IF(ISNUMBER('Data Entry'!D28),'Data Entry'!D28,'Data Entry'!F28)</f>
        <v>0</v>
      </c>
    </row>
    <row r="15" spans="1:5" hidden="1" x14ac:dyDescent="0.3">
      <c r="B15" t="s">
        <v>26</v>
      </c>
      <c r="E15" s="6">
        <f>IF(ISNUMBER('Data Entry'!D29),'Data Entry'!D29,'Data Entry'!F29)</f>
        <v>0</v>
      </c>
    </row>
    <row r="16" spans="1:5" hidden="1" x14ac:dyDescent="0.3">
      <c r="B16" t="s">
        <v>27</v>
      </c>
      <c r="E16" s="6" t="str">
        <f>IF(ISNUMBER('Data Entry'!D30),'Data Entry'!D30,'Data Entry'!F30)</f>
        <v>&lt;0.01 ND</v>
      </c>
    </row>
    <row r="17" spans="1:5" hidden="1" x14ac:dyDescent="0.3">
      <c r="B17" t="s">
        <v>28</v>
      </c>
      <c r="E17" s="6" t="str">
        <f>IF(ISNUMBER('Data Entry'!D31),'Data Entry'!D31,'Data Entry'!F31)</f>
        <v>&lt;0.01 ND</v>
      </c>
    </row>
    <row r="18" spans="1:5" x14ac:dyDescent="0.3">
      <c r="A18" t="s">
        <v>123</v>
      </c>
      <c r="B18" t="s">
        <v>29</v>
      </c>
      <c r="C18" s="6">
        <v>0.31</v>
      </c>
      <c r="E18" s="6">
        <f>IF(ISNUMBER('Data Entry'!D32),'Data Entry'!D32,'Data Entry'!F32)</f>
        <v>0.12</v>
      </c>
    </row>
    <row r="19" spans="1:5" hidden="1" x14ac:dyDescent="0.3">
      <c r="B19" t="s">
        <v>30</v>
      </c>
      <c r="E19" s="6" t="str">
        <f>IF(ISNUMBER('Data Entry'!D33),'Data Entry'!D33,'Data Entry'!F33)</f>
        <v>&lt;0.1 ND</v>
      </c>
    </row>
    <row r="20" spans="1:5" x14ac:dyDescent="0.3">
      <c r="A20" t="s">
        <v>123</v>
      </c>
      <c r="B20" t="s">
        <v>31</v>
      </c>
      <c r="C20" s="6">
        <v>0.15</v>
      </c>
      <c r="E20" s="6">
        <f>IF(ISNUMBER('Data Entry'!D34),'Data Entry'!D34,'Data Entry'!F34)</f>
        <v>0.15</v>
      </c>
    </row>
    <row r="21" spans="1:5" hidden="1" x14ac:dyDescent="0.3">
      <c r="B21" t="s">
        <v>32</v>
      </c>
      <c r="E21" s="6" t="str">
        <f>IF(ISNUMBER('Data Entry'!D35),'Data Entry'!D35,'Data Entry'!F35)</f>
        <v>&lt;0.01 ND</v>
      </c>
    </row>
    <row r="22" spans="1:5" hidden="1" x14ac:dyDescent="0.3">
      <c r="B22" t="s">
        <v>33</v>
      </c>
      <c r="E22" s="6" t="str">
        <f>IF(ISNUMBER('Data Entry'!D36),'Data Entry'!D36,'Data Entry'!F36)</f>
        <v>&lt;5 ND</v>
      </c>
    </row>
    <row r="23" spans="1:5" hidden="1" x14ac:dyDescent="0.3">
      <c r="B23" t="s">
        <v>34</v>
      </c>
      <c r="E23" s="6">
        <f>IF(ISNUMBER('Data Entry'!D37),'Data Entry'!D37,'Data Entry'!F37)</f>
        <v>0</v>
      </c>
    </row>
    <row r="24" spans="1:5" x14ac:dyDescent="0.3">
      <c r="A24" t="s">
        <v>123</v>
      </c>
      <c r="B24" t="s">
        <v>35</v>
      </c>
      <c r="C24" s="59" t="s">
        <v>108</v>
      </c>
      <c r="E24" s="6" t="str">
        <f>IF(ISNUMBER('Data Entry'!D38),'Data Entry'!D38,'Data Entry'!F38)</f>
        <v>&lt;0.002 ND</v>
      </c>
    </row>
    <row r="25" spans="1:5" x14ac:dyDescent="0.3">
      <c r="A25" t="s">
        <v>123</v>
      </c>
      <c r="B25" t="s">
        <v>36</v>
      </c>
      <c r="C25" s="6">
        <v>130</v>
      </c>
      <c r="E25" s="6">
        <f>IF(ISNUMBER('Data Entry'!D39),'Data Entry'!D39,'Data Entry'!F39)</f>
        <v>130</v>
      </c>
    </row>
    <row r="26" spans="1:5" hidden="1" x14ac:dyDescent="0.3">
      <c r="B26" t="s">
        <v>38</v>
      </c>
      <c r="E26" s="6" t="str">
        <f>IF(ISNUMBER('Data Entry'!D40),'Data Entry'!D40,'Data Entry'!F40)</f>
        <v>&lt;1 ND</v>
      </c>
    </row>
    <row r="27" spans="1:5" hidden="1" x14ac:dyDescent="0.3">
      <c r="B27" t="s">
        <v>39</v>
      </c>
      <c r="E27" s="6" t="str">
        <f>IF(ISNUMBER('Data Entry'!D41),'Data Entry'!D41,'Data Entry'!F41)</f>
        <v>&lt;1 ND</v>
      </c>
    </row>
    <row r="28" spans="1:5" hidden="1" x14ac:dyDescent="0.3">
      <c r="B28" t="s">
        <v>40</v>
      </c>
      <c r="E28" s="6" t="str">
        <f>IF(ISNUMBER('Data Entry'!D42),'Data Entry'!D42,'Data Entry'!F42)</f>
        <v>&lt;1 ND</v>
      </c>
    </row>
    <row r="29" spans="1:5" hidden="1" x14ac:dyDescent="0.3">
      <c r="B29" t="s">
        <v>41</v>
      </c>
      <c r="E29" s="6" t="str">
        <f>IF(ISNUMBER('Data Entry'!D43),'Data Entry'!D43,'Data Entry'!F43)</f>
        <v>&lt;0.1 ND</v>
      </c>
    </row>
    <row r="30" spans="1:5" hidden="1" x14ac:dyDescent="0.3">
      <c r="B30" t="s">
        <v>42</v>
      </c>
      <c r="E30" s="6" t="str">
        <f>IF(ISNUMBER('Data Entry'!D44),'Data Entry'!D44,'Data Entry'!F44)</f>
        <v>&lt;1 ND</v>
      </c>
    </row>
    <row r="31" spans="1:5" hidden="1" x14ac:dyDescent="0.3">
      <c r="B31" t="s">
        <v>43</v>
      </c>
      <c r="E31" s="6" t="str">
        <f>IF(ISNUMBER('Data Entry'!D45),'Data Entry'!D45,'Data Entry'!F45)</f>
        <v>&lt;1 ND</v>
      </c>
    </row>
    <row r="32" spans="1:5" hidden="1" x14ac:dyDescent="0.3">
      <c r="B32" t="s">
        <v>44</v>
      </c>
      <c r="E32" s="6" t="str">
        <f>IF(ISNUMBER('Data Entry'!D46),'Data Entry'!D46,'Data Entry'!F46)</f>
        <v>&lt;2 ND</v>
      </c>
    </row>
    <row r="33" spans="1:5" hidden="1" x14ac:dyDescent="0.3">
      <c r="B33" t="s">
        <v>45</v>
      </c>
      <c r="E33" s="6">
        <f>IF(ISNUMBER('Data Entry'!D47),'Data Entry'!D47,'Data Entry'!F47)</f>
        <v>0</v>
      </c>
    </row>
    <row r="34" spans="1:5" x14ac:dyDescent="0.3">
      <c r="A34" t="s">
        <v>123</v>
      </c>
      <c r="C34" s="50" t="s">
        <v>79</v>
      </c>
      <c r="E34" s="50" t="s">
        <v>79</v>
      </c>
    </row>
    <row r="35" spans="1:5" x14ac:dyDescent="0.3">
      <c r="A35" t="s">
        <v>123</v>
      </c>
      <c r="B35" t="s">
        <v>53</v>
      </c>
      <c r="C35" s="59" t="s">
        <v>108</v>
      </c>
      <c r="E35" s="6" t="str">
        <f>IF(ISNUMBER('Data Entry'!D49),'Data Entry'!D49,'Data Entry'!F49)</f>
        <v>&lt;1 ND</v>
      </c>
    </row>
    <row r="36" spans="1:5" x14ac:dyDescent="0.3">
      <c r="A36" t="s">
        <v>123</v>
      </c>
      <c r="B36" t="s">
        <v>54</v>
      </c>
      <c r="C36" s="59" t="s">
        <v>108</v>
      </c>
      <c r="E36" s="6">
        <f>IF(ISNUMBER('Data Entry'!D50),'Data Entry'!D50,'Data Entry'!F50)</f>
        <v>23</v>
      </c>
    </row>
    <row r="37" spans="1:5" x14ac:dyDescent="0.3">
      <c r="A37" t="s">
        <v>123</v>
      </c>
      <c r="B37" t="s">
        <v>47</v>
      </c>
      <c r="C37" s="59" t="s">
        <v>108</v>
      </c>
      <c r="E37" s="6" t="str">
        <f>IF(ISNUMBER('Data Entry'!D51),'Data Entry'!D51,'Data Entry'!F51)</f>
        <v>&lt;0.2 ND</v>
      </c>
    </row>
    <row r="38" spans="1:5" x14ac:dyDescent="0.3">
      <c r="A38" t="s">
        <v>123</v>
      </c>
      <c r="B38" t="s">
        <v>48</v>
      </c>
      <c r="C38" s="59" t="s">
        <v>108</v>
      </c>
      <c r="E38" s="6">
        <f>IF(ISNUMBER('Data Entry'!D52),'Data Entry'!D52,'Data Entry'!F52)</f>
        <v>1.2</v>
      </c>
    </row>
    <row r="39" spans="1:5" x14ac:dyDescent="0.3">
      <c r="A39" t="s">
        <v>123</v>
      </c>
      <c r="B39" t="s">
        <v>49</v>
      </c>
      <c r="C39" s="6">
        <v>7.3</v>
      </c>
      <c r="E39" s="6">
        <f>IF(ISNUMBER('Data Entry'!D53),'Data Entry'!D53,'Data Entry'!F53)</f>
        <v>6.4</v>
      </c>
    </row>
    <row r="40" spans="1:5" x14ac:dyDescent="0.3">
      <c r="A40" t="s">
        <v>123</v>
      </c>
      <c r="B40" t="s">
        <v>50</v>
      </c>
      <c r="C40" s="59" t="s">
        <v>108</v>
      </c>
      <c r="E40" s="6" t="str">
        <f>IF(ISNUMBER('Data Entry'!D54),'Data Entry'!D54,'Data Entry'!F54)</f>
        <v>&lt;1 ND</v>
      </c>
    </row>
    <row r="41" spans="1:5" x14ac:dyDescent="0.3">
      <c r="A41" t="s">
        <v>123</v>
      </c>
      <c r="B41" t="s">
        <v>56</v>
      </c>
      <c r="C41" s="59" t="s">
        <v>108</v>
      </c>
      <c r="E41" s="6" t="str">
        <f>IF(ISNUMBER('Data Entry'!D55),'Data Entry'!D55,'Data Entry'!F55)</f>
        <v>&lt;0.2 ND</v>
      </c>
    </row>
    <row r="42" spans="1:5" x14ac:dyDescent="0.3">
      <c r="A42" t="s">
        <v>123</v>
      </c>
      <c r="B42" t="s">
        <v>57</v>
      </c>
      <c r="C42" s="59" t="s">
        <v>108</v>
      </c>
      <c r="E42" s="6" t="str">
        <f>IF(ISNUMBER('Data Entry'!D56),'Data Entry'!D56,'Data Entry'!F56)</f>
        <v>&lt;1 ND</v>
      </c>
    </row>
    <row r="43" spans="1:5" x14ac:dyDescent="0.3">
      <c r="A43" t="s">
        <v>123</v>
      </c>
      <c r="B43" t="s">
        <v>55</v>
      </c>
      <c r="C43" s="59" t="s">
        <v>108</v>
      </c>
      <c r="E43" s="6" t="str">
        <f>IF(ISNUMBER('Data Entry'!D57),'Data Entry'!D57,'Data Entry'!F57)</f>
        <v>&lt;0.2 ND</v>
      </c>
    </row>
    <row r="44" spans="1:5" x14ac:dyDescent="0.3">
      <c r="A44" t="s">
        <v>123</v>
      </c>
      <c r="B44" t="s">
        <v>52</v>
      </c>
      <c r="C44" s="59" t="s">
        <v>108</v>
      </c>
      <c r="E44" s="6">
        <f>IF(ISNUMBER('Data Entry'!D58),'Data Entry'!D58,'Data Entry'!F58)</f>
        <v>20</v>
      </c>
    </row>
    <row r="45" spans="1:5" hidden="1" x14ac:dyDescent="0.3">
      <c r="B45" s="10" t="s">
        <v>64</v>
      </c>
      <c r="E45" s="6" t="str">
        <f>IF(ISNUMBER('Data Entry'!D59),'Data Entry'!D59,'Data Entry'!F59)</f>
        <v>&lt;5 ND</v>
      </c>
    </row>
    <row r="46" spans="1:5" hidden="1" x14ac:dyDescent="0.3">
      <c r="B46" s="12" t="s">
        <v>59</v>
      </c>
      <c r="E46" s="6" t="str">
        <f>IF(ISNUMBER('Data Entry'!D60),'Data Entry'!D60,'Data Entry'!F60)</f>
        <v>&lt;1 ND</v>
      </c>
    </row>
    <row r="47" spans="1:5" hidden="1" x14ac:dyDescent="0.3">
      <c r="B47" t="s">
        <v>65</v>
      </c>
      <c r="E47" s="6" t="str">
        <f>IF(ISNUMBER('Data Entry'!D61),'Data Entry'!D61,'Data Entry'!F61)</f>
        <v>&lt;1 ND</v>
      </c>
    </row>
    <row r="48" spans="1:5" hidden="1" x14ac:dyDescent="0.3">
      <c r="B48" t="s">
        <v>70</v>
      </c>
      <c r="E48" s="6" t="str">
        <f>IF(ISNUMBER('Data Entry'!D62),'Data Entry'!D62,'Data Entry'!F62)</f>
        <v>&lt;20 ND</v>
      </c>
    </row>
    <row r="49" spans="1:5" hidden="1" x14ac:dyDescent="0.3">
      <c r="B49" t="s">
        <v>61</v>
      </c>
      <c r="E49" s="6" t="str">
        <f>IF(ISNUMBER('Data Entry'!D63),'Data Entry'!D63,'Data Entry'!F63)</f>
        <v>&lt;5 ND</v>
      </c>
    </row>
    <row r="50" spans="1:5" hidden="1" x14ac:dyDescent="0.3">
      <c r="B50" t="s">
        <v>58</v>
      </c>
      <c r="E50" s="6" t="str">
        <f>IF(ISNUMBER('Data Entry'!D64),'Data Entry'!D64,'Data Entry'!F64)</f>
        <v>&lt;5 ND</v>
      </c>
    </row>
    <row r="51" spans="1:5" hidden="1" x14ac:dyDescent="0.3">
      <c r="B51" t="s">
        <v>60</v>
      </c>
      <c r="E51" s="6" t="str">
        <f>IF(ISNUMBER('Data Entry'!D65),'Data Entry'!D65,'Data Entry'!F65)</f>
        <v>&lt;20 ND</v>
      </c>
    </row>
    <row r="52" spans="1:5" hidden="1" x14ac:dyDescent="0.3">
      <c r="B52" t="s">
        <v>62</v>
      </c>
      <c r="E52" s="6" t="str">
        <f>IF(ISNUMBER('Data Entry'!D66),'Data Entry'!D66,'Data Entry'!F66)</f>
        <v>&lt;10 ND</v>
      </c>
    </row>
    <row r="53" spans="1:5" x14ac:dyDescent="0.3">
      <c r="A53" t="s">
        <v>123</v>
      </c>
      <c r="B53" t="s">
        <v>51</v>
      </c>
      <c r="C53" s="59" t="s">
        <v>108</v>
      </c>
      <c r="E53" s="6">
        <f>IF(ISNUMBER('Data Entry'!D67),'Data Entry'!D67,'Data Entry'!F67)</f>
        <v>4.5</v>
      </c>
    </row>
    <row r="54" spans="1:5" hidden="1" x14ac:dyDescent="0.3">
      <c r="B54" t="s">
        <v>63</v>
      </c>
      <c r="E54" s="6" t="str">
        <f>IF(ISNUMBER('Data Entry'!D68),'Data Entry'!D68,'Data Entry'!F68)</f>
        <v>&lt;5 ND</v>
      </c>
    </row>
    <row r="55" spans="1:5" x14ac:dyDescent="0.3">
      <c r="A55" t="s">
        <v>123</v>
      </c>
      <c r="B55" t="s">
        <v>66</v>
      </c>
      <c r="C55" s="59" t="s">
        <v>108</v>
      </c>
      <c r="E55" s="6">
        <f>IF(ISNUMBER('Data Entry'!D69),'Data Entry'!D69,'Data Entry'!F69)</f>
        <v>12</v>
      </c>
    </row>
    <row r="56" spans="1:5" hidden="1" x14ac:dyDescent="0.3">
      <c r="B56" t="s">
        <v>71</v>
      </c>
      <c r="E56" s="6" t="str">
        <f>IF(ISNUMBER('Data Entry'!D70),'Data Entry'!D70,'Data Entry'!F70)</f>
        <v>&lt;5 ND</v>
      </c>
    </row>
    <row r="57" spans="1:5" hidden="1" x14ac:dyDescent="0.3">
      <c r="B57" t="s">
        <v>69</v>
      </c>
      <c r="E57" s="6" t="str">
        <f>IF(ISNUMBER('Data Entry'!D71),'Data Entry'!D71,'Data Entry'!F71)</f>
        <v>&lt;2 ND</v>
      </c>
    </row>
    <row r="58" spans="1:5" hidden="1" x14ac:dyDescent="0.3">
      <c r="B58" t="s">
        <v>67</v>
      </c>
      <c r="E58" s="6" t="str">
        <f>IF(ISNUMBER('Data Entry'!D72),'Data Entry'!D72,'Data Entry'!F72)</f>
        <v>&lt;5 ND</v>
      </c>
    </row>
    <row r="59" spans="1:5" hidden="1" x14ac:dyDescent="0.3">
      <c r="B59" t="s">
        <v>68</v>
      </c>
      <c r="E59" s="6" t="str">
        <f>IF(ISNUMBER('Data Entry'!D73),'Data Entry'!D73,'Data Entry'!F73)</f>
        <v>&lt;2 ND</v>
      </c>
    </row>
    <row r="60" spans="1:5" hidden="1" x14ac:dyDescent="0.3">
      <c r="B60" t="s">
        <v>46</v>
      </c>
      <c r="E60" s="6">
        <f>IF(ISNUMBER('Data Entry'!D74),'Data Entry'!D74,'Data Entry'!F74)</f>
        <v>0</v>
      </c>
    </row>
    <row r="61" spans="1:5" hidden="1" x14ac:dyDescent="0.3"/>
    <row r="62" spans="1:5" hidden="1" x14ac:dyDescent="0.3"/>
    <row r="63" spans="1:5" hidden="1" x14ac:dyDescent="0.3"/>
    <row r="64" spans="1:5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sheetProtection algorithmName="SHA-512" hashValue="PA2m3pg8vMvP6aCterPLcAk0yb0k5rRcQJpujR8iYQCa+PPm4ClXhICZ6HucdakMmxKsFkLlorARzV2Usm+YUg==" saltValue="h9ZSmL3YhxeXChGqLPINIQ==" spinCount="100000" sheet="1" objects="1" scenarios="1"/>
  <autoFilter ref="A1:A85" xr:uid="{715CC297-0544-4605-A122-DE8C596FAA54}">
    <filterColumn colId="0">
      <customFilters>
        <customFilter operator="notEqual" val=" "/>
      </customFilters>
    </filterColumn>
  </autoFilter>
  <mergeCells count="3">
    <mergeCell ref="C4:E4"/>
    <mergeCell ref="C5:E5"/>
    <mergeCell ref="C8:E8"/>
  </mergeCells>
  <pageMargins left="0.7" right="0.7" top="0.75" bottom="0.75" header="0.8" footer="0.3"/>
  <pageSetup orientation="portrait" r:id="rId1"/>
  <headerFooter>
    <oddHeader xml:space="preserve">&amp;C&amp;"-,Bold"&amp;14Table 4 - Comparison to Previous CSI Results&amp;"-,Regular"&amp;11
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9880-387F-4075-9FE0-467FE1D8E3DF}">
  <sheetPr filterMode="1"/>
  <dimension ref="A1:C179"/>
  <sheetViews>
    <sheetView topLeftCell="B1" workbookViewId="0">
      <selection activeCell="G170" sqref="G170"/>
    </sheetView>
  </sheetViews>
  <sheetFormatPr defaultRowHeight="14.4" x14ac:dyDescent="0.3"/>
  <cols>
    <col min="1" max="1" width="2.77734375" hidden="1" customWidth="1"/>
    <col min="2" max="2" width="38.109375" customWidth="1"/>
    <col min="3" max="3" width="52" customWidth="1"/>
  </cols>
  <sheetData>
    <row r="1" spans="1:3" x14ac:dyDescent="0.3">
      <c r="A1" t="s">
        <v>123</v>
      </c>
    </row>
    <row r="2" spans="1:3" x14ac:dyDescent="0.3">
      <c r="A2" t="s">
        <v>123</v>
      </c>
    </row>
    <row r="3" spans="1:3" x14ac:dyDescent="0.3">
      <c r="A3" t="s">
        <v>123</v>
      </c>
      <c r="B3" t="s">
        <v>170</v>
      </c>
      <c r="C3" t="s">
        <v>170</v>
      </c>
    </row>
    <row r="4" spans="1:3" x14ac:dyDescent="0.3">
      <c r="A4" t="s">
        <v>123</v>
      </c>
      <c r="B4" t="s">
        <v>171</v>
      </c>
      <c r="C4" t="s">
        <v>172</v>
      </c>
    </row>
    <row r="5" spans="1:3" x14ac:dyDescent="0.3">
      <c r="A5" t="s">
        <v>123</v>
      </c>
      <c r="B5" t="s">
        <v>173</v>
      </c>
      <c r="C5" t="s">
        <v>174</v>
      </c>
    </row>
    <row r="6" spans="1:3" x14ac:dyDescent="0.3">
      <c r="A6" t="s">
        <v>123</v>
      </c>
      <c r="B6" t="s">
        <v>175</v>
      </c>
      <c r="C6" t="s">
        <v>176</v>
      </c>
    </row>
    <row r="7" spans="1:3" x14ac:dyDescent="0.3">
      <c r="A7" t="s">
        <v>123</v>
      </c>
      <c r="B7" t="s">
        <v>170</v>
      </c>
      <c r="C7" t="s">
        <v>170</v>
      </c>
    </row>
    <row r="8" spans="1:3" hidden="1" x14ac:dyDescent="0.3">
      <c r="B8" t="s">
        <v>177</v>
      </c>
      <c r="C8" t="s">
        <v>178</v>
      </c>
    </row>
    <row r="9" spans="1:3" hidden="1" x14ac:dyDescent="0.3"/>
    <row r="10" spans="1:3" hidden="1" x14ac:dyDescent="0.3">
      <c r="B10" t="s">
        <v>179</v>
      </c>
      <c r="C10" t="s">
        <v>180</v>
      </c>
    </row>
    <row r="11" spans="1:3" hidden="1" x14ac:dyDescent="0.3"/>
    <row r="12" spans="1:3" x14ac:dyDescent="0.3">
      <c r="A12" t="s">
        <v>123</v>
      </c>
      <c r="B12" t="s">
        <v>35</v>
      </c>
      <c r="C12" t="s">
        <v>291</v>
      </c>
    </row>
    <row r="13" spans="1:3" x14ac:dyDescent="0.3">
      <c r="A13" t="s">
        <v>123</v>
      </c>
    </row>
    <row r="14" spans="1:3" x14ac:dyDescent="0.3">
      <c r="A14" t="s">
        <v>123</v>
      </c>
      <c r="B14" t="s">
        <v>181</v>
      </c>
      <c r="C14" t="s">
        <v>182</v>
      </c>
    </row>
    <row r="15" spans="1:3" x14ac:dyDescent="0.3">
      <c r="A15" t="s">
        <v>123</v>
      </c>
      <c r="B15" t="s">
        <v>170</v>
      </c>
      <c r="C15" t="s">
        <v>170</v>
      </c>
    </row>
    <row r="16" spans="1:3" x14ac:dyDescent="0.3">
      <c r="A16" t="s">
        <v>123</v>
      </c>
      <c r="B16" t="s">
        <v>183</v>
      </c>
      <c r="C16" t="s">
        <v>184</v>
      </c>
    </row>
    <row r="17" spans="1:3" hidden="1" x14ac:dyDescent="0.3">
      <c r="B17" t="s">
        <v>170</v>
      </c>
      <c r="C17" t="s">
        <v>170</v>
      </c>
    </row>
    <row r="18" spans="1:3" hidden="1" x14ac:dyDescent="0.3">
      <c r="B18" t="s">
        <v>185</v>
      </c>
      <c r="C18" t="s">
        <v>186</v>
      </c>
    </row>
    <row r="19" spans="1:3" hidden="1" x14ac:dyDescent="0.3"/>
    <row r="20" spans="1:3" x14ac:dyDescent="0.3">
      <c r="A20" t="s">
        <v>123</v>
      </c>
      <c r="B20" t="s">
        <v>187</v>
      </c>
      <c r="C20" t="s">
        <v>188</v>
      </c>
    </row>
    <row r="21" spans="1:3" x14ac:dyDescent="0.3">
      <c r="A21" t="s">
        <v>123</v>
      </c>
    </row>
    <row r="22" spans="1:3" hidden="1" x14ac:dyDescent="0.3">
      <c r="B22" t="s">
        <v>189</v>
      </c>
      <c r="C22" t="s">
        <v>190</v>
      </c>
    </row>
    <row r="23" spans="1:3" hidden="1" x14ac:dyDescent="0.3">
      <c r="B23" t="s">
        <v>170</v>
      </c>
      <c r="C23" t="s">
        <v>170</v>
      </c>
    </row>
    <row r="24" spans="1:3" hidden="1" x14ac:dyDescent="0.3">
      <c r="B24" t="s">
        <v>191</v>
      </c>
      <c r="C24" t="s">
        <v>192</v>
      </c>
    </row>
    <row r="25" spans="1:3" hidden="1" x14ac:dyDescent="0.3">
      <c r="B25" t="s">
        <v>170</v>
      </c>
      <c r="C25" t="s">
        <v>170</v>
      </c>
    </row>
    <row r="26" spans="1:3" hidden="1" x14ac:dyDescent="0.3">
      <c r="B26" t="s">
        <v>193</v>
      </c>
      <c r="C26" t="s">
        <v>194</v>
      </c>
    </row>
    <row r="27" spans="1:3" hidden="1" x14ac:dyDescent="0.3">
      <c r="B27" t="s">
        <v>170</v>
      </c>
      <c r="C27" t="s">
        <v>170</v>
      </c>
    </row>
    <row r="28" spans="1:3" hidden="1" x14ac:dyDescent="0.3">
      <c r="B28" t="s">
        <v>195</v>
      </c>
      <c r="C28" t="s">
        <v>196</v>
      </c>
    </row>
    <row r="29" spans="1:3" hidden="1" x14ac:dyDescent="0.3">
      <c r="B29" t="s">
        <v>170</v>
      </c>
      <c r="C29" t="s">
        <v>170</v>
      </c>
    </row>
    <row r="30" spans="1:3" x14ac:dyDescent="0.3">
      <c r="A30" t="s">
        <v>123</v>
      </c>
      <c r="B30" t="s">
        <v>197</v>
      </c>
    </row>
    <row r="31" spans="1:3" x14ac:dyDescent="0.3">
      <c r="A31" t="s">
        <v>123</v>
      </c>
    </row>
    <row r="32" spans="1:3" x14ac:dyDescent="0.3">
      <c r="A32" t="s">
        <v>123</v>
      </c>
    </row>
    <row r="33" spans="1:2" x14ac:dyDescent="0.3">
      <c r="A33" t="s">
        <v>123</v>
      </c>
      <c r="B33" t="s">
        <v>198</v>
      </c>
    </row>
    <row r="34" spans="1:2" x14ac:dyDescent="0.3">
      <c r="A34" t="s">
        <v>123</v>
      </c>
      <c r="B34" t="s">
        <v>199</v>
      </c>
    </row>
    <row r="35" spans="1:2" hidden="1" x14ac:dyDescent="0.3">
      <c r="B35" t="s">
        <v>200</v>
      </c>
    </row>
    <row r="36" spans="1:2" hidden="1" x14ac:dyDescent="0.3"/>
    <row r="37" spans="1:2" hidden="1" x14ac:dyDescent="0.3">
      <c r="B37" t="s">
        <v>201</v>
      </c>
    </row>
    <row r="38" spans="1:2" hidden="1" x14ac:dyDescent="0.3"/>
    <row r="39" spans="1:2" hidden="1" x14ac:dyDescent="0.3">
      <c r="B39" t="s">
        <v>202</v>
      </c>
    </row>
    <row r="40" spans="1:2" hidden="1" x14ac:dyDescent="0.3"/>
    <row r="41" spans="1:2" hidden="1" x14ac:dyDescent="0.3">
      <c r="B41" t="s">
        <v>203</v>
      </c>
    </row>
    <row r="42" spans="1:2" hidden="1" x14ac:dyDescent="0.3"/>
    <row r="43" spans="1:2" hidden="1" x14ac:dyDescent="0.3">
      <c r="B43" t="s">
        <v>204</v>
      </c>
    </row>
    <row r="44" spans="1:2" hidden="1" x14ac:dyDescent="0.3"/>
    <row r="45" spans="1:2" hidden="1" x14ac:dyDescent="0.3">
      <c r="B45" t="s">
        <v>205</v>
      </c>
    </row>
    <row r="46" spans="1:2" hidden="1" x14ac:dyDescent="0.3"/>
    <row r="47" spans="1:2" hidden="1" x14ac:dyDescent="0.3">
      <c r="B47" t="s">
        <v>206</v>
      </c>
    </row>
    <row r="48" spans="1:2" hidden="1" x14ac:dyDescent="0.3"/>
    <row r="49" spans="2:2" hidden="1" x14ac:dyDescent="0.3">
      <c r="B49" t="s">
        <v>207</v>
      </c>
    </row>
    <row r="50" spans="2:2" hidden="1" x14ac:dyDescent="0.3"/>
    <row r="51" spans="2:2" hidden="1" x14ac:dyDescent="0.3">
      <c r="B51" t="s">
        <v>208</v>
      </c>
    </row>
    <row r="52" spans="2:2" hidden="1" x14ac:dyDescent="0.3"/>
    <row r="53" spans="2:2" hidden="1" x14ac:dyDescent="0.3">
      <c r="B53" t="s">
        <v>209</v>
      </c>
    </row>
    <row r="54" spans="2:2" hidden="1" x14ac:dyDescent="0.3"/>
    <row r="55" spans="2:2" hidden="1" x14ac:dyDescent="0.3">
      <c r="B55" t="s">
        <v>210</v>
      </c>
    </row>
    <row r="56" spans="2:2" hidden="1" x14ac:dyDescent="0.3"/>
    <row r="57" spans="2:2" hidden="1" x14ac:dyDescent="0.3">
      <c r="B57" t="s">
        <v>211</v>
      </c>
    </row>
    <row r="58" spans="2:2" hidden="1" x14ac:dyDescent="0.3"/>
    <row r="59" spans="2:2" hidden="1" x14ac:dyDescent="0.3">
      <c r="B59" t="s">
        <v>212</v>
      </c>
    </row>
    <row r="60" spans="2:2" hidden="1" x14ac:dyDescent="0.3"/>
    <row r="61" spans="2:2" hidden="1" x14ac:dyDescent="0.3">
      <c r="B61" t="s">
        <v>213</v>
      </c>
    </row>
    <row r="62" spans="2:2" hidden="1" x14ac:dyDescent="0.3"/>
    <row r="63" spans="2:2" hidden="1" x14ac:dyDescent="0.3">
      <c r="B63" t="s">
        <v>214</v>
      </c>
    </row>
    <row r="64" spans="2:2" hidden="1" x14ac:dyDescent="0.3"/>
    <row r="65" spans="2:2" hidden="1" x14ac:dyDescent="0.3">
      <c r="B65" t="s">
        <v>215</v>
      </c>
    </row>
    <row r="66" spans="2:2" hidden="1" x14ac:dyDescent="0.3"/>
    <row r="67" spans="2:2" hidden="1" x14ac:dyDescent="0.3">
      <c r="B67" t="s">
        <v>216</v>
      </c>
    </row>
    <row r="68" spans="2:2" hidden="1" x14ac:dyDescent="0.3"/>
    <row r="69" spans="2:2" hidden="1" x14ac:dyDescent="0.3">
      <c r="B69" t="s">
        <v>217</v>
      </c>
    </row>
    <row r="70" spans="2:2" hidden="1" x14ac:dyDescent="0.3"/>
    <row r="71" spans="2:2" hidden="1" x14ac:dyDescent="0.3">
      <c r="B71" t="s">
        <v>218</v>
      </c>
    </row>
    <row r="72" spans="2:2" hidden="1" x14ac:dyDescent="0.3"/>
    <row r="73" spans="2:2" hidden="1" x14ac:dyDescent="0.3">
      <c r="B73" t="s">
        <v>219</v>
      </c>
    </row>
    <row r="74" spans="2:2" hidden="1" x14ac:dyDescent="0.3"/>
    <row r="75" spans="2:2" hidden="1" x14ac:dyDescent="0.3">
      <c r="B75" t="s">
        <v>220</v>
      </c>
    </row>
    <row r="76" spans="2:2" hidden="1" x14ac:dyDescent="0.3"/>
    <row r="77" spans="2:2" hidden="1" x14ac:dyDescent="0.3">
      <c r="B77" t="s">
        <v>221</v>
      </c>
    </row>
    <row r="78" spans="2:2" hidden="1" x14ac:dyDescent="0.3"/>
    <row r="79" spans="2:2" hidden="1" x14ac:dyDescent="0.3">
      <c r="B79" t="s">
        <v>222</v>
      </c>
    </row>
    <row r="80" spans="2:2" hidden="1" x14ac:dyDescent="0.3"/>
    <row r="81" spans="2:2" hidden="1" x14ac:dyDescent="0.3">
      <c r="B81" t="s">
        <v>223</v>
      </c>
    </row>
    <row r="82" spans="2:2" hidden="1" x14ac:dyDescent="0.3"/>
    <row r="83" spans="2:2" hidden="1" x14ac:dyDescent="0.3">
      <c r="B83" t="s">
        <v>224</v>
      </c>
    </row>
    <row r="84" spans="2:2" hidden="1" x14ac:dyDescent="0.3"/>
    <row r="85" spans="2:2" hidden="1" x14ac:dyDescent="0.3">
      <c r="B85" t="s">
        <v>225</v>
      </c>
    </row>
    <row r="86" spans="2:2" hidden="1" x14ac:dyDescent="0.3"/>
    <row r="87" spans="2:2" hidden="1" x14ac:dyDescent="0.3">
      <c r="B87" t="s">
        <v>226</v>
      </c>
    </row>
    <row r="88" spans="2:2" hidden="1" x14ac:dyDescent="0.3"/>
    <row r="89" spans="2:2" hidden="1" x14ac:dyDescent="0.3">
      <c r="B89" t="s">
        <v>227</v>
      </c>
    </row>
    <row r="90" spans="2:2" hidden="1" x14ac:dyDescent="0.3"/>
    <row r="91" spans="2:2" hidden="1" x14ac:dyDescent="0.3">
      <c r="B91" t="s">
        <v>228</v>
      </c>
    </row>
    <row r="92" spans="2:2" hidden="1" x14ac:dyDescent="0.3"/>
    <row r="93" spans="2:2" hidden="1" x14ac:dyDescent="0.3">
      <c r="B93" t="s">
        <v>229</v>
      </c>
    </row>
    <row r="94" spans="2:2" hidden="1" x14ac:dyDescent="0.3"/>
    <row r="95" spans="2:2" hidden="1" x14ac:dyDescent="0.3">
      <c r="B95" t="s">
        <v>230</v>
      </c>
    </row>
    <row r="96" spans="2:2" hidden="1" x14ac:dyDescent="0.3"/>
    <row r="97" spans="2:2" hidden="1" x14ac:dyDescent="0.3">
      <c r="B97" t="s">
        <v>231</v>
      </c>
    </row>
    <row r="98" spans="2:2" hidden="1" x14ac:dyDescent="0.3"/>
    <row r="99" spans="2:2" hidden="1" x14ac:dyDescent="0.3">
      <c r="B99" t="s">
        <v>232</v>
      </c>
    </row>
    <row r="100" spans="2:2" hidden="1" x14ac:dyDescent="0.3"/>
    <row r="101" spans="2:2" hidden="1" x14ac:dyDescent="0.3">
      <c r="B101" t="s">
        <v>233</v>
      </c>
    </row>
    <row r="102" spans="2:2" hidden="1" x14ac:dyDescent="0.3"/>
    <row r="103" spans="2:2" hidden="1" x14ac:dyDescent="0.3">
      <c r="B103" t="s">
        <v>234</v>
      </c>
    </row>
    <row r="104" spans="2:2" hidden="1" x14ac:dyDescent="0.3"/>
    <row r="105" spans="2:2" hidden="1" x14ac:dyDescent="0.3">
      <c r="B105" t="s">
        <v>235</v>
      </c>
    </row>
    <row r="106" spans="2:2" hidden="1" x14ac:dyDescent="0.3"/>
    <row r="107" spans="2:2" hidden="1" x14ac:dyDescent="0.3">
      <c r="B107" t="s">
        <v>236</v>
      </c>
    </row>
    <row r="108" spans="2:2" hidden="1" x14ac:dyDescent="0.3"/>
    <row r="109" spans="2:2" hidden="1" x14ac:dyDescent="0.3">
      <c r="B109" t="s">
        <v>237</v>
      </c>
    </row>
    <row r="110" spans="2:2" hidden="1" x14ac:dyDescent="0.3"/>
    <row r="111" spans="2:2" hidden="1" x14ac:dyDescent="0.3">
      <c r="B111" t="s">
        <v>238</v>
      </c>
    </row>
    <row r="112" spans="2:2" hidden="1" x14ac:dyDescent="0.3"/>
    <row r="113" spans="1:2" hidden="1" x14ac:dyDescent="0.3">
      <c r="B113" t="s">
        <v>239</v>
      </c>
    </row>
    <row r="114" spans="1:2" hidden="1" x14ac:dyDescent="0.3"/>
    <row r="115" spans="1:2" x14ac:dyDescent="0.3">
      <c r="A115" t="s">
        <v>123</v>
      </c>
      <c r="B115" t="s">
        <v>240</v>
      </c>
    </row>
    <row r="116" spans="1:2" hidden="1" x14ac:dyDescent="0.3"/>
    <row r="117" spans="1:2" hidden="1" x14ac:dyDescent="0.3">
      <c r="B117" t="s">
        <v>241</v>
      </c>
    </row>
    <row r="118" spans="1:2" hidden="1" x14ac:dyDescent="0.3"/>
    <row r="119" spans="1:2" hidden="1" x14ac:dyDescent="0.3">
      <c r="B119" t="s">
        <v>242</v>
      </c>
    </row>
    <row r="120" spans="1:2" hidden="1" x14ac:dyDescent="0.3"/>
    <row r="121" spans="1:2" hidden="1" x14ac:dyDescent="0.3">
      <c r="B121" t="s">
        <v>243</v>
      </c>
    </row>
    <row r="122" spans="1:2" hidden="1" x14ac:dyDescent="0.3"/>
    <row r="123" spans="1:2" hidden="1" x14ac:dyDescent="0.3">
      <c r="B123" t="s">
        <v>244</v>
      </c>
    </row>
    <row r="124" spans="1:2" hidden="1" x14ac:dyDescent="0.3"/>
    <row r="125" spans="1:2" hidden="1" x14ac:dyDescent="0.3">
      <c r="B125" t="s">
        <v>245</v>
      </c>
    </row>
    <row r="126" spans="1:2" hidden="1" x14ac:dyDescent="0.3"/>
    <row r="127" spans="1:2" hidden="1" x14ac:dyDescent="0.3">
      <c r="B127" t="s">
        <v>246</v>
      </c>
    </row>
    <row r="128" spans="1:2" hidden="1" x14ac:dyDescent="0.3"/>
    <row r="129" spans="2:2" hidden="1" x14ac:dyDescent="0.3">
      <c r="B129" t="s">
        <v>247</v>
      </c>
    </row>
    <row r="130" spans="2:2" hidden="1" x14ac:dyDescent="0.3"/>
    <row r="131" spans="2:2" hidden="1" x14ac:dyDescent="0.3">
      <c r="B131" t="s">
        <v>248</v>
      </c>
    </row>
    <row r="132" spans="2:2" hidden="1" x14ac:dyDescent="0.3"/>
    <row r="133" spans="2:2" hidden="1" x14ac:dyDescent="0.3">
      <c r="B133" t="s">
        <v>249</v>
      </c>
    </row>
    <row r="134" spans="2:2" hidden="1" x14ac:dyDescent="0.3"/>
    <row r="135" spans="2:2" hidden="1" x14ac:dyDescent="0.3">
      <c r="B135" t="s">
        <v>250</v>
      </c>
    </row>
    <row r="136" spans="2:2" hidden="1" x14ac:dyDescent="0.3"/>
    <row r="137" spans="2:2" hidden="1" x14ac:dyDescent="0.3">
      <c r="B137" t="s">
        <v>251</v>
      </c>
    </row>
    <row r="138" spans="2:2" hidden="1" x14ac:dyDescent="0.3"/>
    <row r="139" spans="2:2" hidden="1" x14ac:dyDescent="0.3">
      <c r="B139" t="s">
        <v>252</v>
      </c>
    </row>
    <row r="140" spans="2:2" hidden="1" x14ac:dyDescent="0.3"/>
    <row r="141" spans="2:2" hidden="1" x14ac:dyDescent="0.3">
      <c r="B141" t="s">
        <v>253</v>
      </c>
    </row>
    <row r="142" spans="2:2" hidden="1" x14ac:dyDescent="0.3"/>
    <row r="143" spans="2:2" hidden="1" x14ac:dyDescent="0.3">
      <c r="B143" t="s">
        <v>254</v>
      </c>
    </row>
    <row r="144" spans="2:2" hidden="1" x14ac:dyDescent="0.3"/>
    <row r="145" spans="2:2" hidden="1" x14ac:dyDescent="0.3">
      <c r="B145" t="s">
        <v>255</v>
      </c>
    </row>
    <row r="146" spans="2:2" hidden="1" x14ac:dyDescent="0.3"/>
    <row r="147" spans="2:2" hidden="1" x14ac:dyDescent="0.3">
      <c r="B147" t="s">
        <v>256</v>
      </c>
    </row>
    <row r="148" spans="2:2" hidden="1" x14ac:dyDescent="0.3"/>
    <row r="149" spans="2:2" hidden="1" x14ac:dyDescent="0.3">
      <c r="B149" t="s">
        <v>257</v>
      </c>
    </row>
    <row r="150" spans="2:2" hidden="1" x14ac:dyDescent="0.3"/>
    <row r="151" spans="2:2" hidden="1" x14ac:dyDescent="0.3">
      <c r="B151" t="s">
        <v>258</v>
      </c>
    </row>
    <row r="152" spans="2:2" hidden="1" x14ac:dyDescent="0.3"/>
    <row r="153" spans="2:2" hidden="1" x14ac:dyDescent="0.3">
      <c r="B153" t="s">
        <v>259</v>
      </c>
    </row>
    <row r="154" spans="2:2" hidden="1" x14ac:dyDescent="0.3"/>
    <row r="155" spans="2:2" hidden="1" x14ac:dyDescent="0.3">
      <c r="B155" t="s">
        <v>260</v>
      </c>
    </row>
    <row r="156" spans="2:2" hidden="1" x14ac:dyDescent="0.3"/>
    <row r="157" spans="2:2" hidden="1" x14ac:dyDescent="0.3">
      <c r="B157" t="s">
        <v>261</v>
      </c>
    </row>
    <row r="158" spans="2:2" hidden="1" x14ac:dyDescent="0.3"/>
    <row r="159" spans="2:2" hidden="1" x14ac:dyDescent="0.3">
      <c r="B159" t="s">
        <v>262</v>
      </c>
    </row>
    <row r="160" spans="2:2" hidden="1" x14ac:dyDescent="0.3"/>
    <row r="161" spans="1:3" hidden="1" x14ac:dyDescent="0.3">
      <c r="B161" t="s">
        <v>263</v>
      </c>
    </row>
    <row r="162" spans="1:3" hidden="1" x14ac:dyDescent="0.3"/>
    <row r="163" spans="1:3" x14ac:dyDescent="0.3">
      <c r="A163" t="s">
        <v>123</v>
      </c>
    </row>
    <row r="164" spans="1:3" x14ac:dyDescent="0.3">
      <c r="A164" t="s">
        <v>123</v>
      </c>
    </row>
    <row r="165" spans="1:3" x14ac:dyDescent="0.3">
      <c r="A165" t="s">
        <v>123</v>
      </c>
    </row>
    <row r="166" spans="1:3" x14ac:dyDescent="0.3">
      <c r="A166" t="s">
        <v>123</v>
      </c>
      <c r="B166" s="54" t="s">
        <v>264</v>
      </c>
      <c r="C166" t="s">
        <v>265</v>
      </c>
    </row>
    <row r="167" spans="1:3" x14ac:dyDescent="0.3">
      <c r="A167" t="s">
        <v>123</v>
      </c>
      <c r="B167" s="54" t="s">
        <v>170</v>
      </c>
      <c r="C167" t="s">
        <v>170</v>
      </c>
    </row>
    <row r="168" spans="1:3" x14ac:dyDescent="0.3">
      <c r="A168" t="s">
        <v>123</v>
      </c>
      <c r="B168" s="54" t="s">
        <v>266</v>
      </c>
      <c r="C168" t="s">
        <v>292</v>
      </c>
    </row>
    <row r="169" spans="1:3" x14ac:dyDescent="0.3">
      <c r="A169" t="s">
        <v>123</v>
      </c>
      <c r="B169" s="54" t="s">
        <v>170</v>
      </c>
      <c r="C169" t="s">
        <v>170</v>
      </c>
    </row>
    <row r="170" spans="1:3" ht="43.2" x14ac:dyDescent="0.3">
      <c r="A170" t="s">
        <v>123</v>
      </c>
      <c r="B170" s="71" t="s">
        <v>267</v>
      </c>
      <c r="C170" s="70" t="s">
        <v>293</v>
      </c>
    </row>
    <row r="171" spans="1:3" x14ac:dyDescent="0.3">
      <c r="A171" t="s">
        <v>123</v>
      </c>
      <c r="B171" s="54"/>
    </row>
    <row r="172" spans="1:3" x14ac:dyDescent="0.3">
      <c r="A172" t="s">
        <v>123</v>
      </c>
      <c r="B172" s="54" t="s">
        <v>170</v>
      </c>
      <c r="C172" t="s">
        <v>170</v>
      </c>
    </row>
    <row r="173" spans="1:3" x14ac:dyDescent="0.3">
      <c r="A173" t="s">
        <v>123</v>
      </c>
      <c r="B173" s="54" t="s">
        <v>268</v>
      </c>
      <c r="C173" t="s">
        <v>265</v>
      </c>
    </row>
    <row r="174" spans="1:3" x14ac:dyDescent="0.3">
      <c r="A174" t="s">
        <v>123</v>
      </c>
      <c r="B174" s="54"/>
      <c r="C174" t="s">
        <v>269</v>
      </c>
    </row>
    <row r="175" spans="1:3" x14ac:dyDescent="0.3">
      <c r="A175" t="s">
        <v>123</v>
      </c>
      <c r="B175" s="54"/>
      <c r="C175" t="s">
        <v>270</v>
      </c>
    </row>
    <row r="176" spans="1:3" x14ac:dyDescent="0.3">
      <c r="A176" t="s">
        <v>123</v>
      </c>
      <c r="B176" s="54"/>
      <c r="C176" t="s">
        <v>271</v>
      </c>
    </row>
    <row r="177" spans="1:3" hidden="1" x14ac:dyDescent="0.3">
      <c r="B177" s="54"/>
      <c r="C177" t="s">
        <v>272</v>
      </c>
    </row>
    <row r="178" spans="1:3" x14ac:dyDescent="0.3">
      <c r="A178" t="s">
        <v>123</v>
      </c>
      <c r="B178" s="54" t="s">
        <v>170</v>
      </c>
      <c r="C178" t="s">
        <v>170</v>
      </c>
    </row>
    <row r="179" spans="1:3" x14ac:dyDescent="0.3">
      <c r="A179" t="s">
        <v>123</v>
      </c>
      <c r="B179" s="54" t="s">
        <v>273</v>
      </c>
      <c r="C179" s="69">
        <v>43266</v>
      </c>
    </row>
  </sheetData>
  <sheetProtection algorithmName="SHA-512" hashValue="3oZq5FHrfkBpF09zVHzdqglkot2vZJYO3Uhvrw90pCgv8n9cVOHqdtPvJnRVqpRluvOkLBc+zMOhH1QQCvG9gA==" saltValue="x3dGmoxLhF1SY5ZU5wAZBw==" spinCount="100000" sheet="1" objects="1" scenarios="1"/>
  <autoFilter ref="A1:A179" xr:uid="{4F96B6CC-4EAA-493D-A64C-68D2FB43FB98}">
    <filterColumn colId="0">
      <customFilters>
        <customFilter operator="notEqual" val=" "/>
      </customFilters>
    </filterColumn>
  </autoFilter>
  <pageMargins left="0.7" right="0.7" top="0.75" bottom="0.75" header="0.8" footer="0.3"/>
  <pageSetup orientation="portrait" r:id="rId1"/>
  <headerFooter>
    <oddHeader xml:space="preserve">&amp;C&amp;"-,Bold"&amp;14Table 5 - Preservatives and Lab Codes, and Credits
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Entry</vt:lpstr>
      <vt:lpstr>Coverpage</vt:lpstr>
      <vt:lpstr>Survey Procedure</vt:lpstr>
      <vt:lpstr>Table 1 - Composites</vt:lpstr>
      <vt:lpstr>Table 2 - Grabs</vt:lpstr>
      <vt:lpstr>Table 3 - Composite Split</vt:lpstr>
      <vt:lpstr>Table 4 - Compare to Old</vt:lpstr>
      <vt:lpstr>Table 5 - Preservatives &amp;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Leonard, Micky (DEQ)</dc:creator>
  <cp:lastModifiedBy>Leonard, Micky (DEQ)</cp:lastModifiedBy>
  <cp:lastPrinted>2018-06-15T18:22:48Z</cp:lastPrinted>
  <dcterms:created xsi:type="dcterms:W3CDTF">2018-06-13T16:18:10Z</dcterms:created>
  <dcterms:modified xsi:type="dcterms:W3CDTF">2018-06-15T18:34:39Z</dcterms:modified>
</cp:coreProperties>
</file>