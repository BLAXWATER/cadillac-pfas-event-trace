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b74340977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Inventory" sheetId="1" r:id="R457288e403c24c12"/>
    <x:sheet xmlns:r="http://schemas.openxmlformats.org/officeDocument/2006/relationships" name="Summary" sheetId="2" r:id="Rd362894023de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11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sz val="11"/>
      <x:color rgb="FF165D8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6324F"/>
      <x:name val="Aptos"/>
    </x:font>
    <x:font>
      <x:sz val="11"/>
      <x:color rgb="FF165D8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F6A"/>
      </x:patternFill>
    </x:fill>
    <x:fill>
      <x:patternFill patternType="solid">
        <x:fgColor rgb="FFE8F2F1"/>
      </x:patternFill>
    </x:fill>
    <x:fill>
      <x:patternFill patternType="solid">
        <x:fgColor rgb="FFDCE6EF"/>
      </x:patternFill>
    </x:fill>
  </x:fills>
  <x:borders count="6">
    <x:border/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0" fontId="1" fillId="0" borderId="1" xfId="0" applyNumberFormat="1" applyFont="1" applyFill="1" applyBorder="1"/>
    <x:xf numFmtId="202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201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202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top"/>
    </x:xf>
    <x:xf numFmtId="201" fontId="1" fillId="0" borderId="3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/>
    </x:xf>
    <x:xf numFmtId="202" fontId="1" fillId="0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top"/>
    </x:xf>
    <x:xf numFmtId="201" fontId="1" fillId="0" borderId="5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/>
    </x:xf>
    <x:xf numFmtId="202" fontId="1" fillId="0" borderId="5" xfId="0" applyNumberFormat="1" applyFont="1" applyFill="1" applyBorder="1" applyAlignment="1">
      <x:alignment vertical="top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202" fontId="5" fillId="4" borderId="2" xfId="0" applyNumberFormat="1" applyFont="1" applyFill="1" applyBorder="1"/>
    <x:xf numFmtId="202" fontId="5" fillId="4" borderId="3" xfId="0" applyNumberFormat="1" applyFont="1" applyFill="1" applyBorder="1"/>
    <x:xf numFmtId="202" fontId="5" fillId="4" borderId="4" xfId="0" applyNumberFormat="1" applyFont="1" applyFill="1" applyBorder="1"/>
    <x:xf numFmtId="202" fontId="5" fillId="4" borderId="5" xfId="0" applyNumberFormat="1" applyFont="1" applyFill="1" applyBorder="1"/>
    <x:xf numFmtId="202" fontId="5" fillId="4" borderId="2" xfId="0" applyNumberFormat="1" applyFont="1" applyFill="1" applyBorder="1" applyAlignment="1">
      <x:alignment horizontal="right"/>
    </x:xf>
    <x:xf numFmtId="202" fontId="5" fillId="4" borderId="3" xfId="0" applyNumberFormat="1" applyFont="1" applyFill="1" applyBorder="1" applyAlignment="1">
      <x:alignment horizontal="right"/>
    </x:xf>
    <x:xf numFmtId="202" fontId="5" fillId="4" borderId="4" xfId="0" applyNumberFormat="1" applyFont="1" applyFill="1" applyBorder="1" applyAlignment="1">
      <x:alignment horizontal="right"/>
    </x:xf>
    <x:xf numFmtId="202" fontId="5" fillId="4" borderId="5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2" xfId="0" applyNumberFormat="1" applyFont="1" applyFill="1" applyBorder="1"/>
    <x:xf numFmtId="202" fontId="9" fillId="4" borderId="2" xfId="0" applyNumberFormat="1" applyFont="1" applyFill="1" applyBorder="1" applyAlignment="1">
      <x:alignment horizontal="right"/>
    </x:xf>
    <x:xf numFmtId="0" fontId="8" fillId="0" borderId="3" xfId="0" applyNumberFormat="1" applyFont="1" applyFill="1" applyBorder="1"/>
    <x:xf numFmtId="202" fontId="9" fillId="4" borderId="3" xfId="0" applyNumberFormat="1" applyFont="1" applyFill="1" applyBorder="1" applyAlignment="1">
      <x:alignment horizontal="right"/>
    </x:xf>
    <x:xf numFmtId="0" fontId="9" fillId="5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7" fillId="3" borderId="1" xfId="0" applyNumberFormat="1" applyFont="1" applyFill="1" applyBorder="1"/>
    <x:xf numFmtId="0" fontId="8" fillId="0" borderId="4" xfId="0" applyNumberFormat="1" applyFont="1" applyFill="1" applyBorder="1"/>
    <x:xf numFmtId="202" fontId="9" fillId="4" borderId="4" xfId="0" applyNumberFormat="1" applyFont="1" applyFill="1" applyBorder="1" applyAlignment="1">
      <x:alignment horizontal="right"/>
    </x:xf>
    <x:xf numFmtId="0" fontId="8" fillId="0" borderId="5" xfId="0" applyNumberFormat="1" applyFont="1" applyFill="1" applyBorder="1"/>
    <x:xf numFmtId="202" fontId="9" fillId="4" borderId="5" xfId="0" applyNumberFormat="1" applyFont="1" applyFill="1" applyBorder="1" applyAlignment="1">
      <x:alignment horizontal="right"/>
    </x:xf>
    <x:xf numFmtId="0" fontId="9" fillId="5" borderId="1" xfId="0" applyNumberFormat="1" applyFont="1" applyFill="1" applyBorder="1"/>
    <x:xf numFmtId="0" fontId="8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55E4B"/>
      </x:font>
      <x:fill>
        <x:patternFill patternType="solid">
          <x:bgColor rgb="FFDCEFE8"/>
        </x:patternFill>
      </x:fill>
    </x:dxf>
    <x:dxf>
      <x:font>
        <x:b/>
        <x:color rgb="FF5B3B86"/>
      </x:font>
      <x:fill>
        <x:patternFill patternType="solid">
          <x:bgColor rgb="FFE8E2F3"/>
        </x:patternFill>
      </x:fill>
    </x:dxf>
    <x:dxf>
      <x:font>
        <x:color rgb="FF52606D"/>
      </x:font>
      <x:fill>
        <x:patternFill patternType="solid">
          <x:bgColor rgb="FFECEFF2"/>
        </x:patternFill>
      </x:fill>
    </x:dxf>
    <x:dxf>
      <x:font>
        <x:b/>
        <x:color rgb="FF805B1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685cd5b324e6e" /><Relationship Type="http://schemas.openxmlformats.org/officeDocument/2006/relationships/theme" Target="/xl/theme/theme1.xml" Id="R57157c9945384022" /><Relationship Type="http://schemas.openxmlformats.org/officeDocument/2006/relationships/sharedStrings" Target="/xl/sharedStrings.xml" Id="Rd2ec1d7913e9478f" /><Relationship Type="http://schemas.openxmlformats.org/officeDocument/2006/relationships/worksheet" Target="/xl/worksheets/sheet1.xml" Id="R457288e403c24c12" /><Relationship Type="http://schemas.openxmlformats.org/officeDocument/2006/relationships/worksheet" Target="/xl/worksheets/sheet2.xml" Id="Rd362894023de4a0d" /></Relationships>
</file>

<file path=xl/tables/table1.xml><?xml version="1.0" encoding="utf-8"?>
<x:table xmlns:x="http://schemas.openxmlformats.org/spreadsheetml/2006/main" id="1" name="VerifiedInventoryTable" displayName="VerifiedInventoryTable" ref="A1:K54" headerRowCount="1" totalsRowCount="0" totalsRowShown="0">
  <x:autoFilter ref="A1:K54"/>
  <x:tableColumns count="11">
    <x:tableColumn id="1" name="priority"/>
    <x:tableColumn id="2" name="document_date"/>
    <x:tableColumn id="3" name="document_name"/>
    <x:tableColumn id="4" name="mienviro_site_profile"/>
    <x:tableColumn id="5" name="mienviro_document_id"/>
    <x:tableColumn id="6" name="pages"/>
    <x:tableColumn id="7" name="relevance"/>
    <x:tableColumn id="8" name="verified_finding"/>
    <x:tableColumn id="9" name="entity_role"/>
    <x:tableColumn id="10" name="local_path"/>
    <x:tableColumn id="11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25122ac3ba4d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42" hidden="0" customWidth="1"/>
    <x:col min="4" max="4" width="27" hidden="0" customWidth="1"/>
    <x:col min="5" max="5" width="24" hidden="0" customWidth="1"/>
    <x:col min="6" max="6" width="9" hidden="0" customWidth="1"/>
    <x:col min="7" max="7" width="19" hidden="0" customWidth="1"/>
    <x:col min="8" max="8" width="64" hidden="0" customWidth="1"/>
    <x:col min="9" max="9" width="31" hidden="0" customWidth="1"/>
    <x:col min="10" max="10" width="58" hidden="0" customWidth="1"/>
    <x:col min="11" max="11" width="58" hidden="0" customWidth="1"/>
  </x:cols>
  <x:sheetData>
    <x:row r="1" ht="34" customHeight="1">
      <x:c r="A1" s="34" t="str">
        <x:v>priority</x:v>
      </x:c>
      <x:c r="B1" s="34" t="str">
        <x:v>document_date</x:v>
      </x:c>
      <x:c r="C1" s="34" t="str">
        <x:v>document_name</x:v>
      </x:c>
      <x:c r="D1" s="34" t="str">
        <x:v>mienviro_site_profile</x:v>
      </x:c>
      <x:c r="E1" s="34" t="str">
        <x:v>mienviro_document_id</x:v>
      </x:c>
      <x:c r="F1" s="34" t="str">
        <x:v>pages</x:v>
      </x:c>
      <x:c r="G1" s="34" t="str">
        <x:v>relevance</x:v>
      </x:c>
      <x:c r="H1" s="34" t="str">
        <x:v>verified_finding</x:v>
      </x:c>
      <x:c r="I1" s="34" t="str">
        <x:v>entity_role</x:v>
      </x:c>
      <x:c r="J1" s="34" t="str">
        <x:v>local_path</x:v>
      </x:c>
      <x:c r="K1" s="34" t="str">
        <x:v>source_url</x:v>
      </x:c>
    </x:row>
    <x:row r="2" ht="42" customHeight="1">
      <x:c r="A2" s="35" t="str">
        <x:v>Core</x:v>
      </x:c>
      <x:c r="B2" s="36" t="n">
        <x:v>40994</x:v>
      </x:c>
      <x:c r="C2" s="37" t="str">
        <x:v>Cadillac WWTP SIU Information.pdf</x:v>
      </x:c>
      <x:c r="D2" s="38" t="str">
        <x:v>profile 2113288482639133030</x:v>
      </x:c>
      <x:c r="E2" s="38" t="str">
        <x:v>document 2606761043345214758</x:v>
      </x:c>
      <x:c r="F2" s="39" t="n">
        <x:v>11</x:v>
      </x:c>
      <x:c r="G2" s="37" t="str">
        <x:v>Direct</x:v>
      </x:c>
      <x:c r="H2" s="37" t="str">
        <x:v>Wexford County Landfill LLC; permit 590-13; intermittent process wastewater; 33,600 gpd</x:v>
      </x:c>
      <x:c r="I2" s="37" t="str">
        <x:v>Industrial user</x:v>
      </x:c>
      <x:c r="J2" s="37" t="str">
        <x:v>deep_seek/downloads/cadillac_core/2606761043345214758/Cadillac WWTP SIU Information.pdf</x:v>
      </x:c>
      <x:c r="K2" s="37" t="str">
        <x:v>https://mienviro.michigan.gov/ncore/downloadpdf/2606761043345214758</x:v>
      </x:c>
    </x:row>
    <x:row r="3" ht="42" customHeight="1">
      <x:c r="A3" s="35" t="str">
        <x:v>Core</x:v>
      </x:c>
      <x:c r="B3" s="36" t="n">
        <x:v>40994</x:v>
      </x:c>
      <x:c r="C3" s="37" t="str">
        <x:v>Cadillac WWTP Septage Information.pdf</x:v>
      </x:c>
      <x:c r="D3" s="38" t="str">
        <x:v>profile 2113288482639133030</x:v>
      </x:c>
      <x:c r="E3" s="38" t="str">
        <x:v>document -605910068122278034</x:v>
      </x:c>
      <x:c r="F3" s="39" t="n">
        <x:v>16</x:v>
      </x:c>
      <x:c r="G3" s="37" t="str">
        <x:v>Direct</x:v>
      </x:c>
      <x:c r="H3" s="37" t="str">
        <x:v>Nondomestic wastewater includes 33,600 gpd of landfill leachate; exact original and searchable compatibility copy preserved</x:v>
      </x:c>
      <x:c r="I3" s="37" t="str">
        <x:v>WWTP leachate category/volume</x:v>
      </x:c>
      <x:c r="J3" s="37" t="str">
        <x:v>deliverables/Cadillac WWTP Septage Information.pdf</x:v>
      </x:c>
      <x:c r="K3" s="37" t="str">
        <x:v>https://mienviro.michigan.gov/ncore/downloadpdf/-605910068122278034</x:v>
      </x:c>
    </x:row>
    <x:row r="4" ht="42" customHeight="1">
      <x:c r="A4" s="35" t="str">
        <x:v>Core</x:v>
      </x:c>
      <x:c r="B4" s="36" t="n">
        <x:v>41432</x:v>
      </x:c>
      <x:c r="C4" s="37" t="str">
        <x:v>Cadillac WWTP IPP 2011.pdf</x:v>
      </x:c>
      <x:c r="D4" s="38" t="str">
        <x:v>profile 2113288482639133030</x:v>
      </x:c>
      <x:c r="E4" s="38" t="str">
        <x:v>document 7597357992452969174</x:v>
      </x:c>
      <x:c r="F4" s="39" t="n">
        <x:v>50</x:v>
      </x:c>
      <x:c r="G4" s="37" t="str">
        <x:v>Direct</x:v>
      </x:c>
      <x:c r="H4" s="37" t="str">
        <x:v>Reporting year 2011: County DPW landfill sold to American Waste and renamed Wexford County Landfill LLC; SIU permit 590-13</x:v>
      </x:c>
      <x:c r="I4" s="37" t="str">
        <x:v>Owner/name transition</x:v>
      </x:c>
      <x:c r="J4" s="37" t="str">
        <x:v>deep_seek/downloads/cadillac_core/7597357992452969174/Cadillac WWTP IPP 2011.pdf</x:v>
      </x:c>
      <x:c r="K4" s="37" t="str">
        <x:v>https://mienviro.michigan.gov/ncore/downloadpdf/7597357992452969174</x:v>
      </x:c>
    </x:row>
    <x:row r="5" ht="42" customHeight="1">
      <x:c r="A5" s="35" t="str">
        <x:v>Core</x:v>
      </x:c>
      <x:c r="B5" s="36" t="n">
        <x:v>42137</x:v>
      </x:c>
      <x:c r="C5" s="37" t="str">
        <x:v>Pre-Inspection Report.pdf</x:v>
      </x:c>
      <x:c r="D5" s="38" t="str">
        <x:v>profile 2113288482639133030</x:v>
      </x:c>
      <x:c r="E5" s="38" t="str">
        <x:v>document -3430155575482837490</x:v>
      </x:c>
      <x:c r="F5" s="39" t="n">
        <x:v>7</x:v>
      </x:c>
      <x:c r="G5" s="37" t="str">
        <x:v>Direct</x:v>
      </x:c>
      <x:c r="H5" s="37" t="str">
        <x:v>Preserves 2011 inspection statement that Cadillac equalization tank accepted hauled waste that was essentially landfill leachate from County Landfill</x:v>
      </x:c>
      <x:c r="I5" s="37" t="str">
        <x:v>Receipt/transport evidence</x:v>
      </x:c>
      <x:c r="J5" s="37" t="str">
        <x:v>deep_seek/downloads/cadillac_core/-3430155575482837490/Pre-Inspection Report.pdf</x:v>
      </x:c>
      <x:c r="K5" s="37" t="str">
        <x:v>https://mienviro.michigan.gov/ncore/downloadpdf/-3430155575482837490</x:v>
      </x:c>
    </x:row>
    <x:row r="6" ht="42" customHeight="1">
      <x:c r="A6" s="35" t="str">
        <x:v>Core</x:v>
      </x:c>
      <x:c r="B6" s="36" t="n">
        <x:v>41922</x:v>
      </x:c>
      <x:c r="C6" s="37" t="str">
        <x:v>Pre-Inspection Report - Inspection 56545.pdf</x:v>
      </x:c>
      <x:c r="D6" s="38" t="str">
        <x:v>profile 2113288482639133030</x:v>
      </x:c>
      <x:c r="E6" s="38" t="str">
        <x:v>document 3428788513576669470</x:v>
      </x:c>
      <x:c r="F6" s="39" t="n">
        <x:v>7</x:v>
      </x:c>
      <x:c r="G6" s="37" t="str">
        <x:v>Direct</x:v>
      </x:c>
      <x:c r="H6" s="37" t="str">
        <x:v>Complete searchable rendering of Inspection 56545; preserves 2011 County Landfill hauled-leachate statement</x:v>
      </x:c>
      <x:c r="I6" s="37" t="str">
        <x:v>Receipt/transport evidence</x:v>
      </x:c>
      <x:c r="J6" s="37" t="str">
        <x:v>deep_seek/downloads/cadillac_additional/3428788513576669470/Pre-Inspection Report.pdf</x:v>
      </x:c>
      <x:c r="K6" s="37" t="str">
        <x:v>https://mienviro.michigan.gov/ncore/downloadpdf/3428788513576669470</x:v>
      </x:c>
    </x:row>
    <x:row r="7" ht="42" customHeight="1">
      <x:c r="A7" s="35" t="str">
        <x:v>Supporting</x:v>
      </x:c>
      <x:c r="B7" s="36" t="n">
        <x:v>41922</x:v>
      </x:c>
      <x:c r="C7" s="37" t="str">
        <x:v>56545 Pre-Inspection Report scan.pdf</x:v>
      </x:c>
      <x:c r="D7" s="38" t="str">
        <x:v>profile 2113288482639133030</x:v>
      </x:c>
      <x:c r="E7" s="38" t="str">
        <x:v>document 4833597761643264099</x:v>
      </x:c>
      <x:c r="F7" s="39" t="n">
        <x:v>8</x:v>
      </x:c>
      <x:c r="G7" s="37" t="str">
        <x:v>Duplicate rendering</x:v>
      </x:c>
      <x:c r="H7" s="37" t="str">
        <x:v>Independent scan of the same Inspection 56545; OCR compatibility copy verified; not a separate inspection</x:v>
      </x:c>
      <x:c r="I7" s="37" t="str">
        <x:v>Receipt/transport corroboration</x:v>
      </x:c>
      <x:c r="J7" s="37" t="str">
        <x:v>deep_seek/downloads/cadillac_additional/4833597761643264099/56545 Pre-Inspection Report.pdf</x:v>
      </x:c>
      <x:c r="K7" s="37" t="str">
        <x:v>https://mienviro.michigan.gov/ncore/downloadpdf/4833597761643264099</x:v>
      </x:c>
    </x:row>
    <x:row r="8" ht="42" customHeight="1">
      <x:c r="A8" s="35" t="str">
        <x:v>Core</x:v>
      </x:c>
      <x:c r="B8" s="36" t="n">
        <x:v>41898</x:v>
      </x:c>
      <x:c r="C8" s="37" t="str">
        <x:v>N3862 Full Compliance Evaluation</x:v>
      </x:c>
      <x:c r="D8" s="38" t="str">
        <x:v>profile -5366906642849316091</x:v>
      </x:c>
      <x:c r="E8" s="38" t="str">
        <x:v>document 6575640507295912005</x:v>
      </x:c>
      <x:c r="F8" s="39" t="n">
        <x:v>1</x:v>
      </x:c>
      <x:c r="G8" s="37" t="str">
        <x:v>Supporting</x:v>
      </x:c>
      <x:c r="H8" s="37" t="str">
        <x:v>2014 Leachate Recirculation and Odor Management Plans incorporated approved Leachate Atomizer</x:v>
      </x:c>
      <x:c r="I8" s="37" t="str">
        <x:v>Onsite leachate handling</x:v>
      </x:c>
      <x:c r="J8" s="37" t="str">
        <x:v>deep_seek/downloads/n3862/N3862_Full Compliance Evaluation_09-16-2014.pdf</x:v>
      </x:c>
      <x:c r="K8" s="37" t="str">
        <x:v>https://mienviro.michigan.gov/ncore/downloadpdf/6575640507295912005</x:v>
      </x:c>
    </x:row>
    <x:row r="9" ht="42" customHeight="1">
      <x:c r="A9" s="35" t="str">
        <x:v>Supporting</x:v>
      </x:c>
      <x:c r="B9" s="36" t="n">
        <x:v>41898</x:v>
      </x:c>
      <x:c r="C9" s="37" t="str">
        <x:v>N3862 On-Site Inspection</x:v>
      </x:c>
      <x:c r="D9" s="38" t="str">
        <x:v>profile -5366906642849316091</x:v>
      </x:c>
      <x:c r="E9" s="38" t="str">
        <x:v>document 568626317430663494</x:v>
      </x:c>
      <x:c r="F9" s="39" t="n">
        <x:v>3</x:v>
      </x:c>
      <x:c r="G9" s="37" t="str">
        <x:v>Supporting</x:v>
      </x:c>
      <x:c r="H9" s="37" t="str">
        <x:v>Air inspection associated with 2014 full compliance evaluation</x:v>
      </x:c>
      <x:c r="I9" s="37" t="str">
        <x:v>Facility inspection</x:v>
      </x:c>
      <x:c r="J9" s="37" t="str">
        <x:v>deep_seek/downloads/n3862/N3862_On-Site Inspection_09-16-2014.pdf</x:v>
      </x:c>
      <x:c r="K9" s="37" t="str">
        <x:v>https://mienviro.michigan.gov/ncore/downloadpdf/568626317430663494</x:v>
      </x:c>
    </x:row>
    <x:row r="10" ht="42" customHeight="1">
      <x:c r="A10" s="35" t="str">
        <x:v>Supporting</x:v>
      </x:c>
      <x:c r="B10" s="36" t="n">
        <x:v>42326</x:v>
      </x:c>
      <x:c r="C10" s="37" t="str">
        <x:v>N3862 Full Compliance Evaluation</x:v>
      </x:c>
      <x:c r="D10" s="38" t="str">
        <x:v>profile -5366906642849316091</x:v>
      </x:c>
      <x:c r="E10" s="38" t="str">
        <x:v>document -9050919094752259216</x:v>
      </x:c>
      <x:c r="F10" s="39" t="n">
        <x:v>1</x:v>
      </x:c>
      <x:c r="G10" s="37" t="str">
        <x:v>Supporting</x:v>
      </x:c>
      <x:c r="H10" s="37" t="str">
        <x:v>Full compliance evaluation corresponding to 2015 onsite inspection</x:v>
      </x:c>
      <x:c r="I10" s="37" t="str">
        <x:v>Facility inspection</x:v>
      </x:c>
      <x:c r="J10" s="37" t="str">
        <x:v>deep_seek/downloads/n3862/N3862_Full Compliance Evaluation_11-18-2015.pdf</x:v>
      </x:c>
      <x:c r="K10" s="37" t="str">
        <x:v>https://mienviro.michigan.gov/ncore/downloadpdf/-9050919094752259216</x:v>
      </x:c>
    </x:row>
    <x:row r="11" ht="42" customHeight="1">
      <x:c r="A11" s="35" t="str">
        <x:v>Core</x:v>
      </x:c>
      <x:c r="B11" s="36" t="n">
        <x:v>42326</x:v>
      </x:c>
      <x:c r="C11" s="37" t="str">
        <x:v>N3862 On-Site Inspection</x:v>
      </x:c>
      <x:c r="D11" s="38" t="str">
        <x:v>profile -5366906642849316091</x:v>
      </x:c>
      <x:c r="E11" s="38" t="str">
        <x:v>document -7708436501529552797</x:v>
      </x:c>
      <x:c r="F11" s="39" t="n">
        <x:v>3</x:v>
      </x:c>
      <x:c r="G11" s="37" t="str">
        <x:v>Supporting</x:v>
      </x:c>
      <x:c r="H11" s="37" t="str">
        <x:v>Rule 290 aeration pond unused in prior 12 months and proposed for removal from ROP</x:v>
      </x:c>
      <x:c r="I11" s="37" t="str">
        <x:v>Onsite leachate handling</x:v>
      </x:c>
      <x:c r="J11" s="37" t="str">
        <x:v>deep_seek/downloads/n3862/N3862_On-Site Inspection_11-18-2015.pdf</x:v>
      </x:c>
      <x:c r="K11" s="37" t="str">
        <x:v>https://mienviro.michigan.gov/ncore/downloadpdf/-7708436501529552797</x:v>
      </x:c>
    </x:row>
    <x:row r="12" ht="42" customHeight="1">
      <x:c r="A12" s="35" t="str">
        <x:v>Core</x:v>
      </x:c>
      <x:c r="B12" s="36" t="n">
        <x:v>42438</x:v>
      </x:c>
      <x:c r="C12" s="37" t="str">
        <x:v>2015-2016 Wexford County Landfill Leachate Request.pdf</x:v>
      </x:c>
      <x:c r="D12" s="38" t="str">
        <x:v>profile 7701297007408187192</x:v>
      </x:c>
      <x:c r="E12" s="38" t="str">
        <x:v>document -1083339404412472014</x:v>
      </x:c>
      <x:c r="F12" s="39" t="n">
        <x:v>3</x:v>
      </x:c>
      <x:c r="G12" s="37" t="str">
        <x:v>Direct</x:v>
      </x:c>
      <x:c r="H12" s="37" t="str">
        <x:v>Emergency authorization request; evaporator intended to eliminate sending leachate to a WWTP; lagoon approximately 90% precipitation and 10% leachate</x:v>
      </x:c>
      <x:c r="I12" s="37" t="str">
        <x:v>Onsite disposal change</x:v>
      </x:c>
      <x:c r="J12" s="37" t="str">
        <x:v>deep_seek/downloads/main_site/2015-2016_Wexford County Landfill_Leachate Request.pdf</x:v>
      </x:c>
      <x:c r="K12" s="37" t="str">
        <x:v>https://mienviro.michigan.gov/ncore/downloadpdf/-1083339404412472014</x:v>
      </x:c>
    </x:row>
    <x:row r="13" ht="42" customHeight="1">
      <x:c r="A13" s="35" t="str">
        <x:v>Core</x:v>
      </x:c>
      <x:c r="B13" s="36" t="n">
        <x:v>42445</x:v>
      </x:c>
      <x:c r="C13" s="37" t="str">
        <x:v>Flow Rate - Days.pdf</x:v>
      </x:c>
      <x:c r="D13" s="38" t="str">
        <x:v>profile 7701297007408187192</x:v>
      </x:c>
      <x:c r="E13" s="38" t="str">
        <x:v>document -1024976884723014956</x:v>
      </x:c>
      <x:c r="F13" s="39" t="n">
        <x:v>1</x:v>
      </x:c>
      <x:c r="G13" s="37" t="str">
        <x:v>Direct</x:v>
      </x:c>
      <x:c r="H13" s="37" t="str">
        <x:v>900,000-gallon estimate at 35 gpm; 30 April days or 38 May days; American Waste path appears in file</x:v>
      </x:c>
      <x:c r="I13" s="37" t="str">
        <x:v>Discharge calculation</x:v>
      </x:c>
      <x:c r="J13" s="37" t="str">
        <x:v>deep_seek/downloads/main_site/Flow Rate - Days.pdf</x:v>
      </x:c>
      <x:c r="K13" s="37" t="str">
        <x:v>https://mienviro.michigan.gov/ncore/downloadpdf/-1024976884723014956</x:v>
      </x:c>
    </x:row>
    <x:row r="14" ht="42" customHeight="1">
      <x:c r="A14" s="35" t="str">
        <x:v>Core</x:v>
      </x:c>
      <x:c r="B14" s="36" t="n">
        <x:v>42445</x:v>
      </x:c>
      <x:c r="C14" s="37" t="str">
        <x:v>lagoon summary.pdf</x:v>
      </x:c>
      <x:c r="D14" s="38" t="str">
        <x:v>profile 7701297007408187192</x:v>
      </x:c>
      <x:c r="E14" s="38" t="str">
        <x:v>document -3742461403192295520</x:v>
      </x:c>
      <x:c r="F14" s="39" t="n">
        <x:v>30</x:v>
      </x:c>
      <x:c r="G14" s="37" t="str">
        <x:v>Direct</x:v>
      </x:c>
      <x:c r="H14" s="37" t="str">
        <x:v>2015-2016 lagoon analytical packet; Pescador LLC is lab client/sample submitter</x:v>
      </x:c>
      <x:c r="I14" s="37" t="str">
        <x:v>Lagoon sampling</x:v>
      </x:c>
      <x:c r="J14" s="37" t="str">
        <x:v>deep_seek/downloads/main_site/lagoon summary.pdf</x:v>
      </x:c>
      <x:c r="K14" s="37" t="str">
        <x:v>https://mienviro.michigan.gov/ncore/downloadpdf/-3742461403192295520</x:v>
      </x:c>
    </x:row>
    <x:row r="15" ht="42" customHeight="1">
      <x:c r="A15" s="35" t="str">
        <x:v>Core</x:v>
      </x:c>
      <x:c r="B15" s="36" t="n">
        <x:v>42445</x:v>
      </x:c>
      <x:c r="C15" s="37" t="str">
        <x:v>Fig 5 - North Topo.pdf</x:v>
      </x:c>
      <x:c r="D15" s="38" t="str">
        <x:v>profile 7701297007408187192</x:v>
      </x:c>
      <x:c r="E15" s="38" t="str">
        <x:v>document -2296258207315679752</x:v>
      </x:c>
      <x:c r="F15" s="39" t="n">
        <x:v>1</x:v>
      </x:c>
      <x:c r="G15" s="37" t="str">
        <x:v>Direct</x:v>
      </x:c>
      <x:c r="H15" s="37" t="str">
        <x:v>Map labels spray curtain, lagoon, discharge location, and hose</x:v>
      </x:c>
      <x:c r="I15" s="37" t="str">
        <x:v>Discharge map</x:v>
      </x:c>
      <x:c r="J15" s="37" t="str">
        <x:v>deep_seek/downloads/main_site/Fig 5 - North Topo.pdf</x:v>
      </x:c>
      <x:c r="K15" s="37" t="str">
        <x:v>https://mienviro.michigan.gov/ncore/downloadpdf/-2296258207315679752</x:v>
      </x:c>
    </x:row>
    <x:row r="16" ht="42" customHeight="1">
      <x:c r="A16" s="35" t="str">
        <x:v>Core</x:v>
      </x:c>
      <x:c r="B16" s="36" t="n">
        <x:v>42522</x:v>
      </x:c>
      <x:c r="C16" s="37" t="str">
        <x:v>Wexford Landfill Groundwater Discharge Permit Application 2210(y).pdf</x:v>
      </x:c>
      <x:c r="D16" s="38" t="str">
        <x:v>profile 7701297007408187192</x:v>
      </x:c>
      <x:c r="E16" s="38" t="str">
        <x:v>document 8483964851346980810</x:v>
      </x:c>
      <x:c r="F16" s="39" t="n">
        <x:v>11</x:v>
      </x:c>
      <x:c r="G16" s="37" t="str">
        <x:v>Direct</x:v>
      </x:c>
      <x:c r="H16" s="37" t="str">
        <x:v>Wexford County Landfill LLC application; 50,400 gpd and 2,000,000 gallons annually; aeration and land application</x:v>
      </x:c>
      <x:c r="I16" s="37" t="str">
        <x:v>Applicant/permittee</x:v>
      </x:c>
      <x:c r="J16" s="37" t="str">
        <x:v>deep_seek/downloads/main_site/Wexford Landfill Groundwater Discharge Permit Application 2210(y).pdf</x:v>
      </x:c>
      <x:c r="K16" s="37" t="str">
        <x:v>https://mienviro.michigan.gov/ncore/downloadpdf/8483964851346980810</x:v>
      </x:c>
    </x:row>
    <x:row r="17" ht="42" customHeight="1">
      <x:c r="A17" s="35" t="str">
        <x:v>Core</x:v>
      </x:c>
      <x:c r="B17" s="36" t="n">
        <x:v>42629</x:v>
      </x:c>
      <x:c r="C17" s="37" t="str">
        <x:v>Rule 2210 Permit Template-Wexford Landfill.pdf</x:v>
      </x:c>
      <x:c r="D17" s="38" t="str">
        <x:v>profile 7701297007408187192</x:v>
      </x:c>
      <x:c r="E17" s="38" t="str">
        <x:v>document 1536283218285486699</x:v>
      </x:c>
      <x:c r="F17" s="39" t="n">
        <x:v>26</x:v>
      </x:c>
      <x:c r="G17" s="37" t="str">
        <x:v>Direct</x:v>
      </x:c>
      <x:c r="H17" s="37" t="str">
        <x:v>Final GW1010342 authorization for landfill leachate; effective 2016-10-01 through 2017-01-31</x:v>
      </x:c>
      <x:c r="I17" s="37" t="str">
        <x:v>Groundwater permittee</x:v>
      </x:c>
      <x:c r="J17" s="37" t="str">
        <x:v>deep_seek/downloads/main_site/Rule 2210 Permit Template-Wexford Landfill.pdf</x:v>
      </x:c>
      <x:c r="K17" s="37" t="str">
        <x:v>https://mienviro.michigan.gov/ncore/downloadpdf/1536283218285486699</x:v>
      </x:c>
    </x:row>
    <x:row r="18" ht="42" customHeight="1">
      <x:c r="A18" s="35" t="str">
        <x:v>Core</x:v>
      </x:c>
      <x:c r="B18" s="36" t="n">
        <x:v>42723</x:v>
      </x:c>
      <x:c r="C18" s="37" t="str">
        <x:v>DMR Daily October 2016</x:v>
      </x:c>
      <x:c r="D18" s="38" t="str">
        <x:v>profile 7701297007408187192</x:v>
      </x:c>
      <x:c r="E18" s="38" t="str">
        <x:v>document -7520642319298188802</x:v>
      </x:c>
      <x:c r="F18" s="39" t="n">
        <x:v>8</x:v>
      </x:c>
      <x:c r="G18" s="37" t="str">
        <x:v>Direct</x:v>
      </x:c>
      <x:c r="H18" s="37" t="str">
        <x:v>549,400 gallons cumulative by October 31</x:v>
      </x:c>
      <x:c r="I18" s="37" t="str">
        <x:v>Onsite discharge</x:v>
      </x:c>
      <x:c r="J18" s="37" t="str">
        <x:v>deep_seek/downloads/main_site/DMR Daily - GW1010342 _10_01_2016_to_10_31_2016_V1.pdf</x:v>
      </x:c>
      <x:c r="K18" s="37" t="str">
        <x:v>https://mienviro.michigan.gov/ncore/downloadpdf/-7520642319298188802</x:v>
      </x:c>
    </x:row>
    <x:row r="19" ht="42" customHeight="1">
      <x:c r="A19" s="35" t="str">
        <x:v>Core</x:v>
      </x:c>
      <x:c r="B19" s="36" t="n">
        <x:v>42723</x:v>
      </x:c>
      <x:c r="C19" s="37" t="str">
        <x:v>DMR Daily November 2016</x:v>
      </x:c>
      <x:c r="D19" s="38" t="str">
        <x:v>profile 7701297007408187192</x:v>
      </x:c>
      <x:c r="E19" s="38" t="str">
        <x:v>document -4163788102925784663</x:v>
      </x:c>
      <x:c r="F19" s="39" t="n">
        <x:v>8</x:v>
      </x:c>
      <x:c r="G19" s="37" t="str">
        <x:v>Direct</x:v>
      </x:c>
      <x:c r="H19" s="37" t="str">
        <x:v>1,439,500 gallons cumulative by November 30</x:v>
      </x:c>
      <x:c r="I19" s="37" t="str">
        <x:v>Onsite discharge</x:v>
      </x:c>
      <x:c r="J19" s="37" t="str">
        <x:v>deep_seek/downloads/main_site/DMR Daily - GW1010342 _11_01_2016_to_11_30_2016_V1.pdf</x:v>
      </x:c>
      <x:c r="K19" s="37" t="str">
        <x:v>https://mienviro.michigan.gov/ncore/downloadpdf/-4163788102925784663</x:v>
      </x:c>
    </x:row>
    <x:row r="20" ht="42" customHeight="1">
      <x:c r="A20" s="35" t="str">
        <x:v>Core</x:v>
      </x:c>
      <x:c r="B20" s="36" t="n">
        <x:v>42723</x:v>
      </x:c>
      <x:c r="C20" s="37" t="str">
        <x:v>DMR Daily December 2016</x:v>
      </x:c>
      <x:c r="D20" s="38" t="str">
        <x:v>profile 7701297007408187192</x:v>
      </x:c>
      <x:c r="E20" s="38" t="str">
        <x:v>document -4512338794143814286</x:v>
      </x:c>
      <x:c r="F20" s="39" t="n">
        <x:v>8</x:v>
      </x:c>
      <x:c r="G20" s="37" t="str">
        <x:v>Direct</x:v>
      </x:c>
      <x:c r="H20" s="37" t="str">
        <x:v>1,509,500 gallons cumulative; discharge ceased 2016-12-09; table/summary volume discrepancy preserved</x:v>
      </x:c>
      <x:c r="I20" s="37" t="str">
        <x:v>Onsite discharge</x:v>
      </x:c>
      <x:c r="J20" s="37" t="str">
        <x:v>deep_seek/downloads/main_site/DMR Daily - GW1010342 _12_01_2016_to_12_31_2016_V1.pdf</x:v>
      </x:c>
      <x:c r="K20" s="37" t="str">
        <x:v>https://mienviro.michigan.gov/ncore/downloadpdf/-4512338794143814286</x:v>
      </x:c>
    </x:row>
    <x:row r="21" ht="42" customHeight="1">
      <x:c r="A21" s="35" t="str">
        <x:v>Core</x:v>
      </x:c>
      <x:c r="B21" s="36" t="n">
        <x:v>42828</x:v>
      </x:c>
      <x:c r="C21" s="37" t="str">
        <x:v>WEXFORD LANDFILL.pdf</x:v>
      </x:c>
      <x:c r="D21" s="38" t="str">
        <x:v>profile 2113288482639133030</x:v>
      </x:c>
      <x:c r="E21" s="38" t="str">
        <x:v>document 2929107239418671816</x:v>
      </x:c>
      <x:c r="F21" s="39" t="n">
        <x:v>1</x:v>
      </x:c>
      <x:c r="G21" s="37" t="str">
        <x:v>Direct</x:v>
      </x:c>
      <x:c r="H21" s="37" t="str">
        <x:v>Cadillac SIU; 33,000 gpd intermittent process wastewater</x:v>
      </x:c>
      <x:c r="I21" s="37" t="str">
        <x:v>Industrial user</x:v>
      </x:c>
      <x:c r="J21" s="37" t="str">
        <x:v>deliverables/WEXFORD_LANDFILL_2017_SIU.pdf</x:v>
      </x:c>
      <x:c r="K21" s="37" t="str">
        <x:v>https://mienviro.michigan.gov/ncore/downloadpdf/2929107239418671816</x:v>
      </x:c>
    </x:row>
    <x:row r="22" ht="42" customHeight="1">
      <x:c r="A22" s="35" t="str">
        <x:v>Core</x:v>
      </x:c>
      <x:c r="B22" s="36" t="n">
        <x:v>42828</x:v>
      </x:c>
      <x:c r="C22" s="37" t="str">
        <x:v>Cadillac WWTP NPDES Application V1.pdf</x:v>
      </x:c>
      <x:c r="D22" s="38" t="str">
        <x:v>profile 2113288482639133030</x:v>
      </x:c>
      <x:c r="E22" s="38" t="str">
        <x:v>document -4194105337445403259</x:v>
      </x:c>
      <x:c r="F22" s="39" t="n">
        <x:v>22</x:v>
      </x:c>
      <x:c r="G22" s="37" t="str">
        <x:v>Direct</x:v>
      </x:c>
      <x:c r="H22" s="37" t="str">
        <x:v>Section 10 reports 0.04 MGD landfill leachate; Section 11 and attachment history list WEXFORD LANDFILL.docx</x:v>
      </x:c>
      <x:c r="I22" s="37" t="str">
        <x:v>WWTP application/SIU attachment</x:v>
      </x:c>
      <x:c r="J22" s="37" t="str">
        <x:v>deep_seek/downloads/cadillac_additional/-4194105337445403259/Application_2Q7-HQ21-P66B V1.pdf</x:v>
      </x:c>
      <x:c r="K22" s="37" t="str">
        <x:v>https://mienviro.michigan.gov/ncore/downloadpdf/-4194105337445403259</x:v>
      </x:c>
    </x:row>
    <x:row r="23" ht="42" customHeight="1">
      <x:c r="A23" s="35" t="str">
        <x:v>Core</x:v>
      </x:c>
      <x:c r="B23" s="36" t="n">
        <x:v>43045</x:v>
      </x:c>
      <x:c r="C23" s="37" t="str">
        <x:v>N3862 Full Compliance Evaluation</x:v>
      </x:c>
      <x:c r="D23" s="38" t="str">
        <x:v>profile -5366906642849316091</x:v>
      </x:c>
      <x:c r="E23" s="38" t="str">
        <x:v>document 7395535843906233555</x:v>
      </x:c>
      <x:c r="F23" s="39" t="n">
        <x:v>1</x:v>
      </x:c>
      <x:c r="G23" s="37" t="str">
        <x:v>Supporting</x:v>
      </x:c>
      <x:c r="H23" s="37" t="str">
        <x:v>Full compliance evaluation corresponding to 2017 onsite inspection</x:v>
      </x:c>
      <x:c r="I23" s="37" t="str">
        <x:v>Facility inspection</x:v>
      </x:c>
      <x:c r="J23" s="37" t="str">
        <x:v>deep_seek/downloads/n3862/N3862_Full Compliance Evaluation_11-06-2017.pdf</x:v>
      </x:c>
      <x:c r="K23" s="37" t="str">
        <x:v>https://mienviro.michigan.gov/ncore/downloadpdf/7395535843906233555</x:v>
      </x:c>
    </x:row>
    <x:row r="24" ht="42" customHeight="1">
      <x:c r="A24" s="35" t="str">
        <x:v>Core</x:v>
      </x:c>
      <x:c r="B24" s="36" t="n">
        <x:v>43045</x:v>
      </x:c>
      <x:c r="C24" s="37" t="str">
        <x:v>N3862 On-Site Inspection</x:v>
      </x:c>
      <x:c r="D24" s="38" t="str">
        <x:v>profile -5366906642849316091</x:v>
      </x:c>
      <x:c r="E24" s="38" t="str">
        <x:v>document -7145165304305963063</x:v>
      </x:c>
      <x:c r="F24" s="39" t="n">
        <x:v>4</x:v>
      </x:c>
      <x:c r="G24" s="37" t="str">
        <x:v>Supporting</x:v>
      </x:c>
      <x:c r="H24" s="37" t="str">
        <x:v>Leachate evaporation system under Rule 285(aa); post-closure groundwater-remediation ponds; waste streams described</x:v>
      </x:c>
      <x:c r="I24" s="37" t="str">
        <x:v>Onsite leachate handling</x:v>
      </x:c>
      <x:c r="J24" s="37" t="str">
        <x:v>deep_seek/downloads/n3862/N3862_On-Site Inspection_11-06-2017.pdf</x:v>
      </x:c>
      <x:c r="K24" s="37" t="str">
        <x:v>https://mienviro.michigan.gov/ncore/downloadpdf/-7145165304305963063</x:v>
      </x:c>
    </x:row>
    <x:row r="25" ht="42" customHeight="1">
      <x:c r="A25" s="35" t="str">
        <x:v>Core</x:v>
      </x:c>
      <x:c r="B25" s="36" t="n">
        <x:v>43187</x:v>
      </x:c>
      <x:c r="C25" s="37" t="str">
        <x:v>2018 SIU-CIU List</x:v>
      </x:c>
      <x:c r="D25" s="38" t="str">
        <x:v>profile 2113288482639133030</x:v>
      </x:c>
      <x:c r="E25" s="38" t="str">
        <x:v>document 4593201925321274393</x:v>
      </x:c>
      <x:c r="F25" s="39" t="n">
        <x:v>7</x:v>
      </x:c>
      <x:c r="G25" s="37" t="str">
        <x:v>Direct</x:v>
      </x:c>
      <x:c r="H25" s="37" t="str">
        <x:v>Wexford County Landfill LLC; legal name American Waste; SIU subject to local limits</x:v>
      </x:c>
      <x:c r="I25" s="37" t="str">
        <x:v>Industrial user</x:v>
      </x:c>
      <x:c r="J25" s="37" t="str">
        <x:v>deep_seek/downloads/cadillac_core/4593201925321274393/SIU-CIU_List.pdf</x:v>
      </x:c>
      <x:c r="K25" s="37" t="str">
        <x:v>https://mienviro.michigan.gov/ncore/downloadpdf/4593201925321274393</x:v>
      </x:c>
    </x:row>
    <x:row r="26" ht="42" customHeight="1">
      <x:c r="A26" s="35" t="str">
        <x:v>Core</x:v>
      </x:c>
      <x:c r="B26" s="36" t="n">
        <x:v>43187</x:v>
      </x:c>
      <x:c r="C26" s="37" t="str">
        <x:v>2018 POTW Oversight Table</x:v>
      </x:c>
      <x:c r="D26" s="38" t="str">
        <x:v>profile 2113288482639133030</x:v>
      </x:c>
      <x:c r="E26" s="38" t="str">
        <x:v>document -2139264245510326741</x:v>
      </x:c>
      <x:c r="F26" s="39" t="n">
        <x:v>14</x:v>
      </x:c>
      <x:c r="G26" s="37" t="str">
        <x:v>Direct</x:v>
      </x:c>
      <x:c r="H26" s="37" t="str">
        <x:v>Reporting year 2017 row-aligned Wexford data: 40,323 gpd; one inspection; 52 POTW sampling events</x:v>
      </x:c>
      <x:c r="I26" s="37" t="str">
        <x:v>Industrial user oversight</x:v>
      </x:c>
      <x:c r="J26" s="37" t="str">
        <x:v>deep_seek/downloads/cadillac_core/-2139264245510326741/POTW_Oversight_Table.pdf</x:v>
      </x:c>
      <x:c r="K26" s="37" t="str">
        <x:v>https://mienviro.michigan.gov/ncore/downloadpdf/-2139264245510326741</x:v>
      </x:c>
    </x:row>
    <x:row r="27" ht="42" customHeight="1">
      <x:c r="A27" s="35" t="str">
        <x:v>Core</x:v>
      </x:c>
      <x:c r="B27" s="36" t="n">
        <x:v>43283</x:v>
      </x:c>
      <x:c r="C27" s="37" t="str">
        <x:v>Wexford Co Landfill Termination Form</x:v>
      </x:c>
      <x:c r="D27" s="38" t="str">
        <x:v>profile 7701297007408187192</x:v>
      </x:c>
      <x:c r="E27" s="38" t="str">
        <x:v>document 2992214570167366846</x:v>
      </x:c>
      <x:c r="F27" s="39" t="n">
        <x:v>1</x:v>
      </x:c>
      <x:c r="G27" s="37" t="str">
        <x:v>Direct</x:v>
      </x:c>
      <x:c r="H27" s="37" t="str">
        <x:v>GW1010342 expired; authorized groundwater discharges eliminated/terminated</x:v>
      </x:c>
      <x:c r="I27" s="37" t="str">
        <x:v>Permit termination</x:v>
      </x:c>
      <x:c r="J27" s="37" t="str">
        <x:v>deep_seek/downloads/main_site/Wexford Co Landfill Termination Form (1).pdf</x:v>
      </x:c>
      <x:c r="K27" s="37" t="str">
        <x:v>https://mienviro.michigan.gov/ncore/downloadpdf/2992214570167366846</x:v>
      </x:c>
    </x:row>
    <x:row r="28" ht="42" customHeight="1">
      <x:c r="A28" s="35" t="str">
        <x:v>Core</x:v>
      </x:c>
      <x:c r="B28" s="36" t="n">
        <x:v>43311</x:v>
      </x:c>
      <x:c r="C28" s="37" t="str">
        <x:v>American Waste PFAS Survey.pdf</x:v>
      </x:c>
      <x:c r="D28" s="38" t="str">
        <x:v>profile 2113288482639133030</x:v>
      </x:c>
      <x:c r="E28" s="38" t="str">
        <x:v>document 5907977853460013045</x:v>
      </x:c>
      <x:c r="F28" s="39" t="n">
        <x:v>2</x:v>
      </x:c>
      <x:c r="G28" s="37" t="str">
        <x:v>Direct</x:v>
      </x:c>
      <x:c r="H28" s="37" t="str">
        <x:v>Ownership since fall 2011; industrial waste 18-30%; transport record limitations; leachate not yet analyzed</x:v>
      </x:c>
      <x:c r="I28" s="37" t="str">
        <x:v>Owner/operator survey</x:v>
      </x:c>
      <x:c r="J28" s="37" t="str">
        <x:v>deliverables/American_Waste_PFAS_Survey.pdf</x:v>
      </x:c>
      <x:c r="K28" s="37" t="str">
        <x:v>https://mienviro.michigan.gov/ncore/downloadpdf/5907977853460013045</x:v>
      </x:c>
    </x:row>
    <x:row r="29" ht="42" customHeight="1">
      <x:c r="A29" s="35" t="str">
        <x:v>Core</x:v>
      </x:c>
      <x:c r="B29" s="36" t="n">
        <x:v>43311</x:v>
      </x:c>
      <x:c r="C29" s="37" t="str">
        <x:v>HNF-P7H3-DCN87 V1.pdf</x:v>
      </x:c>
      <x:c r="D29" s="38" t="str">
        <x:v>profile 2113288482639133030</x:v>
      </x:c>
      <x:c r="E29" s="38" t="str">
        <x:v>document -2838228056125865720</x:v>
      </x:c>
      <x:c r="F29" s="39" t="n">
        <x:v>3</x:v>
      </x:c>
      <x:c r="G29" s="37" t="str">
        <x:v>Direct</x:v>
      </x:c>
      <x:c r="H29" s="37" t="str">
        <x:v>Interim PFAS screening identifies Wexford as only probable source among surveyed facilities</x:v>
      </x:c>
      <x:c r="I29" s="37" t="str">
        <x:v>PFAS investigation</x:v>
      </x:c>
      <x:c r="J29" s="37" t="str">
        <x:v>deliverables/HNF-P7H3-DCN87_V1.pdf</x:v>
      </x:c>
      <x:c r="K29" s="37" t="str">
        <x:v>https://mienviro.michigan.gov/ncore/downloadpdf/-2838228056125865720</x:v>
      </x:c>
    </x:row>
    <x:row r="30" ht="42" customHeight="1">
      <x:c r="A30" s="35" t="str">
        <x:v>Core</x:v>
      </x:c>
      <x:c r="B30" s="36" t="n">
        <x:v>43376</x:v>
      </x:c>
      <x:c r="C30" s="37" t="str">
        <x:v>J17646-1 UDS Level 2 Report Final Report Leachate.pdf</x:v>
      </x:c>
      <x:c r="D30" s="38" t="str">
        <x:v>profile 2113288482639133030</x:v>
      </x:c>
      <x:c r="E30" s="38" t="str">
        <x:v>document 792182164173532957</x:v>
      </x:c>
      <x:c r="F30" s="39" t="n">
        <x:v>23</x:v>
      </x:c>
      <x:c r="G30" s="37" t="str">
        <x:v>Direct</x:v>
      </x:c>
      <x:c r="H30" s="37" t="str">
        <x:v>Wexford leachate: PFOS 120/140 ng/L; PFOA 590/700 ng/L</x:v>
      </x:c>
      <x:c r="I30" s="37" t="str">
        <x:v>Analytical result</x:v>
      </x:c>
      <x:c r="J30" s="37" t="str">
        <x:v>deliverables/J17646-1 UDS Level 2 Report Final Report (Leachate).pdf</x:v>
      </x:c>
      <x:c r="K30" s="37" t="str">
        <x:v>https://mienviro.michigan.gov/ncore/downloadpdf/792182164173532957</x:v>
      </x:c>
    </x:row>
    <x:row r="31" ht="42" customHeight="1">
      <x:c r="A31" s="35" t="str">
        <x:v>Core</x:v>
      </x:c>
      <x:c r="B31" s="36" t="n">
        <x:v>43433</x:v>
      </x:c>
      <x:c r="C31" s="37" t="str">
        <x:v>HNJ-P0ZX-8AVDS V1.pdf</x:v>
      </x:c>
      <x:c r="D31" s="38" t="str">
        <x:v>profile 2113288482639133030</x:v>
      </x:c>
      <x:c r="E31" s="38" t="str">
        <x:v>document 3092683663291337793</x:v>
      </x:c>
      <x:c r="F31" s="39" t="n">
        <x:v>2</x:v>
      </x:c>
      <x:c r="G31" s="37" t="str">
        <x:v>Direct</x:v>
      </x:c>
      <x:c r="H31" s="37" t="str">
        <x:v>Cadillac identifies Wexford as PFAS source and records no cleanup investment</x:v>
      </x:c>
      <x:c r="I31" s="37" t="str">
        <x:v>PFAS summary</x:v>
      </x:c>
      <x:c r="J31" s="37" t="str">
        <x:v>deliverables/HNJ-P0ZX-8AVDS V1.pdf</x:v>
      </x:c>
      <x:c r="K31" s="37" t="str">
        <x:v>https://mienviro.michigan.gov/ncore/downloadpdf/3092683663291337793</x:v>
      </x:c>
    </x:row>
    <x:row r="32" ht="42" customHeight="1">
      <x:c r="A32" s="35" t="str">
        <x:v>Core</x:v>
      </x:c>
      <x:c r="B32" s="36" t="n">
        <x:v>43528</x:v>
      </x:c>
      <x:c r="C32" s="37" t="str">
        <x:v>Cadillac WWTP PFAS Letter.pdf</x:v>
      </x:c>
      <x:c r="D32" s="38" t="str">
        <x:v>profile 2113288482639133030</x:v>
      </x:c>
      <x:c r="E32" s="38" t="str">
        <x:v>document 2197571042959551007</x:v>
      </x:c>
      <x:c r="F32" s="39" t="n">
        <x:v>3</x:v>
      </x:c>
      <x:c r="G32" s="37" t="str">
        <x:v>Direct</x:v>
      </x:c>
      <x:c r="H32" s="37" t="str">
        <x:v>One accepted-wastewater facility exceeded PFOS 12 ng/L; confirmed source directed to reduce PFOS</x:v>
      </x:c>
      <x:c r="I32" s="37" t="str">
        <x:v>PFAS oversight</x:v>
      </x:c>
      <x:c r="J32" s="37" t="str">
        <x:v>deep_seek/downloads/cadillac_core/2197571042959551007/Cadillac WWTP PFAS Letter.pdf</x:v>
      </x:c>
      <x:c r="K32" s="37" t="str">
        <x:v>https://mienviro.michigan.gov/ncore/downloadpdf/2197571042959551007</x:v>
      </x:c>
    </x:row>
    <x:row r="33" ht="42" customHeight="1">
      <x:c r="A33" s="35" t="str">
        <x:v>Core</x:v>
      </x:c>
      <x:c r="B33" s="36" t="n">
        <x:v>43544</x:v>
      </x:c>
      <x:c r="C33" s="37" t="str">
        <x:v>2019 SIU-CIU List</x:v>
      </x:c>
      <x:c r="D33" s="38" t="str">
        <x:v>profile 2113288482639133030</x:v>
      </x:c>
      <x:c r="E33" s="38" t="str">
        <x:v>document -6173827553342443142</x:v>
      </x:c>
      <x:c r="F33" s="39" t="n">
        <x:v>6</x:v>
      </x:c>
      <x:c r="G33" s="37" t="str">
        <x:v>Direct</x:v>
      </x:c>
      <x:c r="H33" s="37" t="str">
        <x:v>Wexford County Landfill LLC; legal name American Waste; Terry Whetstone manager</x:v>
      </x:c>
      <x:c r="I33" s="37" t="str">
        <x:v>Industrial user</x:v>
      </x:c>
      <x:c r="J33" s="37" t="str">
        <x:v>deep_seek/downloads/cadillac_core/-6173827553342443142/SIU-CIU_List.pdf</x:v>
      </x:c>
      <x:c r="K33" s="37" t="str">
        <x:v>https://mienviro.michigan.gov/ncore/downloadpdf/-6173827553342443142</x:v>
      </x:c>
    </x:row>
    <x:row r="34" ht="42" customHeight="1">
      <x:c r="A34" s="35" t="str">
        <x:v>Core</x:v>
      </x:c>
      <x:c r="B34" s="36" t="n">
        <x:v>43544</x:v>
      </x:c>
      <x:c r="C34" s="37" t="str">
        <x:v>2019 POTW Oversight Table</x:v>
      </x:c>
      <x:c r="D34" s="38" t="str">
        <x:v>profile 2113288482639133030</x:v>
      </x:c>
      <x:c r="E34" s="38" t="str">
        <x:v>document 4259306752911727975</x:v>
      </x:c>
      <x:c r="F34" s="39" t="n">
        <x:v>14</x:v>
      </x:c>
      <x:c r="G34" s="37" t="str">
        <x:v>Direct</x:v>
      </x:c>
      <x:c r="H34" s="37" t="str">
        <x:v>Reporting year 2018 row-aligned Wexford data: 40,323 gpd; SNC for metals and pH; 12 NOVs</x:v>
      </x:c>
      <x:c r="I34" s="37" t="str">
        <x:v>Industrial user oversight</x:v>
      </x:c>
      <x:c r="J34" s="37" t="str">
        <x:v>deep_seek/downloads/cadillac_core/4259306752911727975/POTW_Oversight_Table.pdf</x:v>
      </x:c>
      <x:c r="K34" s="37" t="str">
        <x:v>https://mienviro.michigan.gov/ncore/downloadpdf/4259306752911727975</x:v>
      </x:c>
    </x:row>
    <x:row r="35" ht="42" customHeight="1">
      <x:c r="A35" s="35" t="str">
        <x:v>Core</x:v>
      </x:c>
      <x:c r="B35" s="36" t="n">
        <x:v>43644</x:v>
      </x:c>
      <x:c r="C35" s="37" t="str">
        <x:v>HNQ-VZP8-TWNRX V1.pdf</x:v>
      </x:c>
      <x:c r="D35" s="38" t="str">
        <x:v>profile 2113288482639133030</x:v>
      </x:c>
      <x:c r="E35" s="38" t="str">
        <x:v>document 2793559677356639638</x:v>
      </x:c>
      <x:c r="F35" s="39" t="n">
        <x:v>3</x:v>
      </x:c>
      <x:c r="G35" s="37" t="str">
        <x:v>Direct</x:v>
      </x:c>
      <x:c r="H35" s="37" t="str">
        <x:v>Confirmed Wexford source; moved to deep-well injection; would no longer bring leachate; AFFF field N/A</x:v>
      </x:c>
      <x:c r="I35" s="37" t="str">
        <x:v>PFAS status/cessation</x:v>
      </x:c>
      <x:c r="J35" s="37" t="str">
        <x:v>deliverables/HNQ-VZP8-TWNRX V1.pdf</x:v>
      </x:c>
      <x:c r="K35" s="37" t="str">
        <x:v>https://mienviro.michigan.gov/ncore/downloadpdf/2793559677356639638</x:v>
      </x:c>
    </x:row>
    <x:row r="36" ht="42" customHeight="1">
      <x:c r="A36" s="35" t="str">
        <x:v>Core</x:v>
      </x:c>
      <x:c r="B36" s="36" t="n">
        <x:v>43817</x:v>
      </x:c>
      <x:c r="C36" s="37" t="str">
        <x:v>HNV-XK97-EV0GR V1.pdf</x:v>
      </x:c>
      <x:c r="D36" s="38" t="str">
        <x:v>profile 2113288482639133030</x:v>
      </x:c>
      <x:c r="E36" s="38" t="str">
        <x:v>document -30690039028977475</x:v>
      </x:c>
      <x:c r="F36" s="39" t="n">
        <x:v>3</x:v>
      </x:c>
      <x:c r="G36" s="37" t="str">
        <x:v>Direct</x:v>
      </x:c>
      <x:c r="H36" s="37" t="str">
        <x:v>Cadillac no longer accepts leachate; Wexford deep-well injecting; PFOS source entered as Trash</x:v>
      </x:c>
      <x:c r="I36" s="37" t="str">
        <x:v>PFAS status/cessation</x:v>
      </x:c>
      <x:c r="J36" s="37" t="str">
        <x:v>deliverables/HNV-XK97-EV0GR V1.pdf</x:v>
      </x:c>
      <x:c r="K36" s="37" t="str">
        <x:v>https://mienviro.michigan.gov/ncore/downloadpdf/-30690039028977475</x:v>
      </x:c>
    </x:row>
    <x:row r="37" ht="42" customHeight="1">
      <x:c r="A37" s="35" t="str">
        <x:v>County</x:v>
      </x:c>
      <x:c r="B37" s="36" t="n">
        <x:v>41990</x:v>
      </x:c>
      <x:c r="C37" s="37" t="str">
        <x:v>Wexford County BOC Minutes 2014-12-17</x:v>
      </x:c>
      <x:c r="D37" s="38" t="str">
        <x:v>Wexford County BOC minutes</x:v>
      </x:c>
      <x:c r="E37" s="38" t="str"/>
      <x:c r="F37" s="39" t="n">
        <x:v>10</x:v>
      </x:c>
      <x:c r="G37" s="37" t="str">
        <x:v>Supporting</x:v>
      </x:c>
      <x:c r="H37" s="37" t="str">
        <x:v>Pescador environmental-services contract extended 2015-2019 at amended $16,000 annual amount</x:v>
      </x:c>
      <x:c r="I37" s="37" t="str">
        <x:v>County environmental contractor</x:v>
      </x:c>
      <x:c r="J37" s="37" t="str">
        <x:v>deep_seek/downloads/wexford_county_minutes_2014_2019_unique/270290633248_min-12-17-2014.pdf</x:v>
      </x:c>
      <x:c r="K37" s="37" t="str">
        <x:v>https://wexfordcounty.org/?page_id=176</x:v>
      </x:c>
    </x:row>
    <x:row r="38" ht="42" customHeight="1">
      <x:c r="A38" s="35" t="str">
        <x:v>County</x:v>
      </x:c>
      <x:c r="B38" s="36" t="n">
        <x:v>42025</x:v>
      </x:c>
      <x:c r="C38" s="37" t="str">
        <x:v>Wexford County BOC Minutes 2015-01-21</x:v>
      </x:c>
      <x:c r="D38" s="38" t="str">
        <x:v>Wexford County BOC minutes</x:v>
      </x:c>
      <x:c r="E38" s="38" t="str"/>
      <x:c r="F38" s="39" t="n">
        <x:v>4</x:v>
      </x:c>
      <x:c r="G38" s="37" t="str">
        <x:v>Direct</x:v>
      </x:c>
      <x:c r="H38" s="37" t="str">
        <x:v>Pescador scope includes contaminated-area groundwater sampling and landfill RAP/waste relocation work with American Waste</x:v>
      </x:c>
      <x:c r="I38" s="37" t="str">
        <x:v>RAP and monitoring contractor</x:v>
      </x:c>
      <x:c r="J38" s="37" t="str">
        <x:v>deep_seek/downloads/wexford_county_minutes_2014_2019_unique/84c01693d06a_min-01-21-15.pdf</x:v>
      </x:c>
      <x:c r="K38" s="37" t="str">
        <x:v>https://wexfordcounty.org/?page_id=176</x:v>
      </x:c>
    </x:row>
    <x:row r="39" ht="42" customHeight="1">
      <x:c r="A39" s="35" t="str">
        <x:v>County</x:v>
      </x:c>
      <x:c r="B39" s="36" t="n">
        <x:v>42284</x:v>
      </x:c>
      <x:c r="C39" s="37" t="str">
        <x:v>Wexford County BOC Minutes 2015-10-07</x:v>
      </x:c>
      <x:c r="D39" s="38" t="str">
        <x:v>Wexford County BOC minutes</x:v>
      </x:c>
      <x:c r="E39" s="38" t="str"/>
      <x:c r="F39" s="39" t="n">
        <x:v>6</x:v>
      </x:c>
      <x:c r="G39" s="37" t="str">
        <x:v>Direct</x:v>
      </x:c>
      <x:c r="H39" s="37" t="str">
        <x:v>Cedar Creek discusses proposed landfill injection well to dispose of generated fluids</x:v>
      </x:c>
      <x:c r="I39" s="37" t="str">
        <x:v>Injection proposal</x:v>
      </x:c>
      <x:c r="J39" s="37" t="str">
        <x:v>deep_seek/downloads/wexford_county_minutes_2014_2019_unique/79eb9b87fd42_min-10-07-2015.pdf</x:v>
      </x:c>
      <x:c r="K39" s="37" t="str">
        <x:v>https://wexfordcounty.org/?page_id=176</x:v>
      </x:c>
    </x:row>
    <x:row r="40" ht="42" customHeight="1">
      <x:c r="A40" s="35" t="str">
        <x:v>County</x:v>
      </x:c>
      <x:c r="B40" s="36" t="n">
        <x:v>42466</x:v>
      </x:c>
      <x:c r="C40" s="37" t="str">
        <x:v>Wexford County BOC Minutes 2016-04-06</x:v>
      </x:c>
      <x:c r="D40" s="38" t="str">
        <x:v>Wexford County BOC minutes</x:v>
      </x:c>
      <x:c r="E40" s="38" t="str"/>
      <x:c r="F40" s="39" t="n">
        <x:v>5</x:v>
      </x:c>
      <x:c r="G40" s="37" t="str">
        <x:v>Direct</x:v>
      </x:c>
      <x:c r="H40" s="37" t="str">
        <x:v>Dan Staub identified as Pescador project manager; landfill RAP, monitoring wells, and completed trash relocation discussed</x:v>
      </x:c>
      <x:c r="I40" s="37" t="str">
        <x:v>RAP project management</x:v>
      </x:c>
      <x:c r="J40" s="37" t="str">
        <x:v>deep_seek/downloads/wexford_county_minutes_2014_2019_unique/f7f2d574aea9_April-6-2016.pdf</x:v>
      </x:c>
      <x:c r="K40" s="37" t="str">
        <x:v>https://wexfordcounty.org/?page_id=176</x:v>
      </x:c>
    </x:row>
    <x:row r="41" ht="42" customHeight="1">
      <x:c r="A41" s="35" t="str">
        <x:v>County</x:v>
      </x:c>
      <x:c r="B41" s="36" t="n">
        <x:v>42963</x:v>
      </x:c>
      <x:c r="C41" s="37" t="str">
        <x:v>Wexford County BOC Minutes 2017-08-16</x:v>
      </x:c>
      <x:c r="D41" s="38" t="str">
        <x:v>Wexford County BOC minutes</x:v>
      </x:c>
      <x:c r="E41" s="38" t="str"/>
      <x:c r="F41" s="39" t="n">
        <x:v>6</x:v>
      </x:c>
      <x:c r="G41" s="37" t="str">
        <x:v>Direct</x:v>
      </x:c>
      <x:c r="H41" s="37" t="str">
        <x:v>American Waste proposal to close landfill RAP pond and discharge area approved up to $137,400 escrow</x:v>
      </x:c>
      <x:c r="I41" s="37" t="str">
        <x:v>Onsite disposal transition</x:v>
      </x:c>
      <x:c r="J41" s="37" t="str">
        <x:v>deep_seek/downloads/wexford_county_minutes_2014_2019_unique/65bba8b851f0_August-16-2017.pdf</x:v>
      </x:c>
      <x:c r="K41" s="37" t="str">
        <x:v>https://wexfordcounty.org/?page_id=176</x:v>
      </x:c>
    </x:row>
    <x:row r="42" ht="42" customHeight="1">
      <x:c r="A42" s="35" t="str">
        <x:v>County</x:v>
      </x:c>
      <x:c r="B42" s="36" t="n">
        <x:v>43040</x:v>
      </x:c>
      <x:c r="C42" s="37" t="str">
        <x:v>Wexford County BOC Minutes 2017-11-01</x:v>
      </x:c>
      <x:c r="D42" s="38" t="str">
        <x:v>Wexford County BOC minutes</x:v>
      </x:c>
      <x:c r="E42" s="38" t="str"/>
      <x:c r="F42" s="39" t="n">
        <x:v>8</x:v>
      </x:c>
      <x:c r="G42" s="37" t="str">
        <x:v>Direct</x:v>
      </x:c>
      <x:c r="H42" s="37" t="str">
        <x:v>Commissioners question what is in leachate; cost-saving injection proposal and opposition resolution discussed</x:v>
      </x:c>
      <x:c r="I42" s="37" t="str">
        <x:v>Leachate/injection oversight</x:v>
      </x:c>
      <x:c r="J42" s="37" t="str">
        <x:v>deep_seek/downloads/wexford_county_minutes_2014_2019_unique/40dd0f578d7d_November-1-2017.pdf</x:v>
      </x:c>
      <x:c r="K42" s="37" t="str">
        <x:v>https://wexfordcounty.org/?page_id=176</x:v>
      </x:c>
    </x:row>
    <x:row r="43" ht="42" customHeight="1">
      <x:c r="A43" s="35" t="str">
        <x:v>County</x:v>
      </x:c>
      <x:c r="B43" s="36" t="n">
        <x:v>43054</x:v>
      </x:c>
      <x:c r="C43" s="37" t="str">
        <x:v>Wexford County BOC Minutes 2017-11-15</x:v>
      </x:c>
      <x:c r="D43" s="38" t="str">
        <x:v>Wexford County BOC minutes</x:v>
      </x:c>
      <x:c r="E43" s="38" t="str"/>
      <x:c r="F43" s="39" t="n">
        <x:v>4</x:v>
      </x:c>
      <x:c r="G43" s="37" t="str">
        <x:v>Direct</x:v>
      </x:c>
      <x:c r="H43" s="37" t="str">
        <x:v>American Waste/Wexford Water Technologies Class I presentation says leachate will move from tanks into injection wells; Resolution 17-31 adopted</x:v>
      </x:c>
      <x:c r="I43" s="37" t="str">
        <x:v>Tanks-to-injection plan</x:v>
      </x:c>
      <x:c r="J43" s="37" t="str">
        <x:v>deep_seek/downloads/wexford_county_minutes_2014_2019_unique/d8dd8a9a9f9c_November-15-2017.pdf</x:v>
      </x:c>
      <x:c r="K43" s="37" t="str">
        <x:v>https://wexfordcounty.org/?page_id=176</x:v>
      </x:c>
    </x:row>
    <x:row r="44" ht="42" customHeight="1">
      <x:c r="A44" s="35" t="str">
        <x:v>County</x:v>
      </x:c>
      <x:c r="B44" s="36" t="n">
        <x:v>43117</x:v>
      </x:c>
      <x:c r="C44" s="37" t="str">
        <x:v>Wexford County BOC Minutes 2018-01-17</x:v>
      </x:c>
      <x:c r="D44" s="38" t="str">
        <x:v>Wexford County BOC minutes</x:v>
      </x:c>
      <x:c r="E44" s="38" t="str"/>
      <x:c r="F44" s="39" t="n">
        <x:v>4</x:v>
      </x:c>
      <x:c r="G44" s="37" t="str">
        <x:v>Supporting</x:v>
      </x:c>
      <x:c r="H44" s="37" t="str">
        <x:v>Pescador annual landfill RAP update and monitoring-well/DEQ activity</x:v>
      </x:c>
      <x:c r="I44" s="37" t="str">
        <x:v>RAP monitoring</x:v>
      </x:c>
      <x:c r="J44" s="37" t="str">
        <x:v>deep_seek/downloads/wexford_county_minutes_2014_2019_unique/94903344496a_January-17-2018.pdf</x:v>
      </x:c>
      <x:c r="K44" s="37" t="str">
        <x:v>https://wexfordcounty.org/?page_id=176</x:v>
      </x:c>
    </x:row>
    <x:row r="45" ht="42" customHeight="1">
      <x:c r="A45" s="35" t="str">
        <x:v>County</x:v>
      </x:c>
      <x:c r="B45" s="36" t="n">
        <x:v>43138</x:v>
      </x:c>
      <x:c r="C45" s="37" t="str">
        <x:v>Wexford County BOC Minutes 2018-02-07</x:v>
      </x:c>
      <x:c r="D45" s="38" t="str">
        <x:v>Wexford County BOC minutes</x:v>
      </x:c>
      <x:c r="E45" s="38" t="str"/>
      <x:c r="F45" s="39" t="n">
        <x:v>4</x:v>
      </x:c>
      <x:c r="G45" s="37" t="str">
        <x:v>Direct</x:v>
      </x:c>
      <x:c r="H45" s="37" t="str">
        <x:v>Board supports amendment intended to stop leachate injection wells at landfill</x:v>
      </x:c>
      <x:c r="I45" s="37" t="str">
        <x:v>Injection opposition</x:v>
      </x:c>
      <x:c r="J45" s="37" t="str">
        <x:v>deep_seek/downloads/wexford_county_minutes_2014_2019_unique/e7a8847c3aba_February-7-2018.pdf</x:v>
      </x:c>
      <x:c r="K45" s="37" t="str">
        <x:v>https://wexfordcounty.org/?page_id=176</x:v>
      </x:c>
    </x:row>
    <x:row r="46" ht="42" customHeight="1">
      <x:c r="A46" s="35" t="str">
        <x:v>County</x:v>
      </x:c>
      <x:c r="B46" s="36" t="n">
        <x:v>43152</x:v>
      </x:c>
      <x:c r="C46" s="37" t="str">
        <x:v>Wexford County BOC Minutes 2018-02-21</x:v>
      </x:c>
      <x:c r="D46" s="38" t="str">
        <x:v>Wexford County BOC minutes</x:v>
      </x:c>
      <x:c r="E46" s="38" t="str"/>
      <x:c r="F46" s="39" t="n">
        <x:v>5</x:v>
      </x:c>
      <x:c r="G46" s="37" t="str">
        <x:v>Direct</x:v>
      </x:c>
      <x:c r="H46" s="37" t="str">
        <x:v>Board changes meeting time to attend March 21 injection-well hearing</x:v>
      </x:c>
      <x:c r="I46" s="37" t="str">
        <x:v>Injection hearing</x:v>
      </x:c>
      <x:c r="J46" s="37" t="str">
        <x:v>deep_seek/downloads/wexford_county_minutes_2014_2019_unique/54298ab8c2e4_Febraury-21-2018.pdf</x:v>
      </x:c>
      <x:c r="K46" s="37" t="str">
        <x:v>https://wexfordcounty.org/?page_id=176</x:v>
      </x:c>
    </x:row>
    <x:row r="47" ht="42" customHeight="1">
      <x:c r="A47" s="35" t="str">
        <x:v>County</x:v>
      </x:c>
      <x:c r="B47" s="36" t="n">
        <x:v>43166</x:v>
      </x:c>
      <x:c r="C47" s="37" t="str">
        <x:v>Wexford County BOC Minutes 2018-03-07</x:v>
      </x:c>
      <x:c r="D47" s="38" t="str">
        <x:v>Wexford County BOC minutes</x:v>
      </x:c>
      <x:c r="E47" s="38" t="str"/>
      <x:c r="F47" s="39" t="n">
        <x:v>5</x:v>
      </x:c>
      <x:c r="G47" s="37" t="str">
        <x:v>Direct</x:v>
      </x:c>
      <x:c r="H47" s="37" t="str">
        <x:v>Injection-well discussion and upcoming hearing; physical installation mentioned without proving operation</x:v>
      </x:c>
      <x:c r="I47" s="37" t="str">
        <x:v>Injection project status</x:v>
      </x:c>
      <x:c r="J47" s="37" t="str">
        <x:v>deep_seek/downloads/wexford_county_minutes_2014_2019_unique/1b6bde651398_March-7-2018.pdf</x:v>
      </x:c>
      <x:c r="K47" s="37" t="str">
        <x:v>https://wexfordcounty.org/?page_id=176</x:v>
      </x:c>
    </x:row>
    <x:row r="48" ht="42" customHeight="1">
      <x:c r="A48" s="35" t="str">
        <x:v>County</x:v>
      </x:c>
      <x:c r="B48" s="36" t="n">
        <x:v>43544</x:v>
      </x:c>
      <x:c r="C48" s="37" t="str">
        <x:v>Wexford County BOC Minutes 2019-03-20</x:v>
      </x:c>
      <x:c r="D48" s="38" t="str">
        <x:v>Wexford County BOC minutes</x:v>
      </x:c>
      <x:c r="E48" s="38" t="str"/>
      <x:c r="F48" s="39" t="n">
        <x:v>5</x:v>
      </x:c>
      <x:c r="G48" s="37" t="str">
        <x:v>Direct</x:v>
      </x:c>
      <x:c r="H48" s="37" t="str">
        <x:v>Resident requests support for Cedar Creek protective ordinance limiting landfill deep-injection well</x:v>
      </x:c>
      <x:c r="I48" s="37" t="str">
        <x:v>Local injection controls</x:v>
      </x:c>
      <x:c r="J48" s="37" t="str">
        <x:v>deep_seek/review/wexford_county_minutes_ocr/9d550714957e_March-20-2019.pdf</x:v>
      </x:c>
      <x:c r="K48" s="37" t="str">
        <x:v>https://wexfordcounty.org/?page_id=176</x:v>
      </x:c>
    </x:row>
    <x:row r="49" ht="42" customHeight="1">
      <x:c r="A49" s="35" t="str">
        <x:v>County</x:v>
      </x:c>
      <x:c r="B49" s="36" t="n">
        <x:v>43586</x:v>
      </x:c>
      <x:c r="C49" s="37" t="str">
        <x:v>Wexford County BOC Minutes 2019-05-01</x:v>
      </x:c>
      <x:c r="D49" s="38" t="str">
        <x:v>Wexford County BOC minutes</x:v>
      </x:c>
      <x:c r="E49" s="38" t="str"/>
      <x:c r="F49" s="39" t="n">
        <x:v>3</x:v>
      </x:c>
      <x:c r="G49" s="37" t="str">
        <x:v>Direct</x:v>
      </x:c>
      <x:c r="H49" s="37" t="str">
        <x:v>Board unanimously supports Cedar Creek proposed zoning ordinance concerning deep-injection well</x:v>
      </x:c>
      <x:c r="I49" s="37" t="str">
        <x:v>Local injection controls</x:v>
      </x:c>
      <x:c r="J49" s="37" t="str">
        <x:v>deep_seek/review/wexford_county_minutes_ocr/8d713cc7d680_May-1-2019.pdf</x:v>
      </x:c>
      <x:c r="K49" s="37" t="str">
        <x:v>https://wexfordcounty.org/?page_id=176</x:v>
      </x:c>
    </x:row>
    <x:row r="50" ht="42" customHeight="1">
      <x:c r="A50" s="35" t="str">
        <x:v>County</x:v>
      </x:c>
      <x:c r="B50" s="36" t="n">
        <x:v>43600</x:v>
      </x:c>
      <x:c r="C50" s="37" t="str">
        <x:v>Wexford County BOC Minutes 2019-05-15</x:v>
      </x:c>
      <x:c r="D50" s="38" t="str">
        <x:v>Wexford County BOC minutes</x:v>
      </x:c>
      <x:c r="E50" s="38" t="str"/>
      <x:c r="F50" s="39" t="n">
        <x:v>5</x:v>
      </x:c>
      <x:c r="G50" s="37" t="str">
        <x:v>Supporting</x:v>
      </x:c>
      <x:c r="H50" s="37" t="str">
        <x:v>Resolution 19-07 approved concerning Wexford County Landfill LLC RAP letter of credit</x:v>
      </x:c>
      <x:c r="I50" s="37" t="str">
        <x:v>RAP financial assurance</x:v>
      </x:c>
      <x:c r="J50" s="37" t="str">
        <x:v>deep_seek/review/wexford_county_minutes_ocr/6a0c87be60c1_May-15-2019.pdf</x:v>
      </x:c>
      <x:c r="K50" s="37" t="str">
        <x:v>https://wexfordcounty.org/?page_id=176</x:v>
      </x:c>
    </x:row>
    <x:row r="51" ht="42" customHeight="1">
      <x:c r="A51" s="35" t="str">
        <x:v>County</x:v>
      </x:c>
      <x:c r="B51" s="36" t="n">
        <x:v>43649</x:v>
      </x:c>
      <x:c r="C51" s="37" t="str">
        <x:v>Wexford County BOC Minutes 2019-07-03</x:v>
      </x:c>
      <x:c r="D51" s="38" t="str">
        <x:v>Wexford County BOC minutes</x:v>
      </x:c>
      <x:c r="E51" s="38" t="str"/>
      <x:c r="F51" s="39" t="n">
        <x:v>5</x:v>
      </x:c>
      <x:c r="G51" s="37" t="str">
        <x:v>Context</x:v>
      </x:c>
      <x:c r="H51" s="37" t="str">
        <x:v>DHD10 describes PFAS as a major issue; County discusses new EGLE PFAS requirements</x:v>
      </x:c>
      <x:c r="I51" s="37" t="str">
        <x:v>County PFAS context</x:v>
      </x:c>
      <x:c r="J51" s="37" t="str">
        <x:v>deep_seek/review/wexford_county_minutes_ocr/93b9cde2de86_July-3-2019.pdf</x:v>
      </x:c>
      <x:c r="K51" s="37" t="str">
        <x:v>https://wexfordcounty.org/?page_id=176</x:v>
      </x:c>
    </x:row>
    <x:row r="52" ht="42" customHeight="1">
      <x:c r="A52" s="35" t="str">
        <x:v>County</x:v>
      </x:c>
      <x:c r="B52" s="36" t="n">
        <x:v>43775</x:v>
      </x:c>
      <x:c r="C52" s="37" t="str">
        <x:v>Wexford County BOC Minutes 2019-11-06</x:v>
      </x:c>
      <x:c r="D52" s="38" t="str">
        <x:v>Wexford County BOC minutes</x:v>
      </x:c>
      <x:c r="E52" s="38" t="str"/>
      <x:c r="F52" s="39" t="n">
        <x:v>4</x:v>
      </x:c>
      <x:c r="G52" s="37" t="str">
        <x:v>Direct summary</x:v>
      </x:c>
      <x:c r="H52" s="37" t="str">
        <x:v>Pescador presents 2019 Landfill Groundwater Monitoring Report; minutes summarize PFAS results; underlying report not attached online</x:v>
      </x:c>
      <x:c r="I52" s="37" t="str">
        <x:v>Groundwater/PFAS monitoring</x:v>
      </x:c>
      <x:c r="J52" s="37" t="str">
        <x:v>deep_seek/review/wexford_county_minutes_ocr/e1ac9f30b38a_November-6-2019.pdf</x:v>
      </x:c>
      <x:c r="K52" s="37" t="str">
        <x:v>https://wexfordcounty.org/?page_id=176</x:v>
      </x:c>
    </x:row>
    <x:row r="53" ht="42" customHeight="1">
      <x:c r="A53" s="35" t="str">
        <x:v>Excluded</x:v>
      </x:c>
      <x:c r="B53" s="36" t="n">
        <x:v>42137</x:v>
      </x:c>
      <x:c r="C53" s="37" t="str">
        <x:v>IPP Profile.pdf</x:v>
      </x:c>
      <x:c r="D53" s="38" t="str">
        <x:v>profile 2113288482639133030</x:v>
      </x:c>
      <x:c r="E53" s="38" t="str">
        <x:v>document -7233250038345395334</x:v>
      </x:c>
      <x:c r="F53" s="39" t="n">
        <x:v>4</x:v>
      </x:c>
      <x:c r="G53" s="37" t="str">
        <x:v>Program only</x:v>
      </x:c>
      <x:c r="H53" s="37" t="str">
        <x:v>Generic Cadillac IPP profile; does not identify Wexford</x:v>
      </x:c>
      <x:c r="I53" s="37" t="str">
        <x:v>Program-level</x:v>
      </x:c>
      <x:c r="J53" s="37" t="str">
        <x:v>deep_seek/downloads/cadillac_core/-7233250038345395334/IPP Profile.pdf</x:v>
      </x:c>
      <x:c r="K53" s="37" t="str">
        <x:v>https://mienviro.michigan.gov/ncore/downloadpdf/-7233250038345395334</x:v>
      </x:c>
    </x:row>
    <x:row r="54" ht="42" customHeight="1">
      <x:c r="A54" s="35" t="str">
        <x:v>Excluded</x:v>
      </x:c>
      <x:c r="B54" s="36" t="n">
        <x:v>43754</x:v>
      </x:c>
      <x:c r="C54" s="37" t="str">
        <x:v>2019-10-16 CC-002274 Cadillac WWTP.pdf</x:v>
      </x:c>
      <x:c r="D54" s="38" t="str">
        <x:v>profile 2113288482639133030</x:v>
      </x:c>
      <x:c r="E54" s="38" t="str">
        <x:v>document 8924430461830557524</x:v>
      </x:c>
      <x:c r="F54" s="39" t="n">
        <x:v>2</x:v>
      </x:c>
      <x:c r="G54" s="37" t="str">
        <x:v>Unrelated</x:v>
      </x:c>
      <x:c r="H54" s="37" t="str">
        <x:v>Compliance letter concerns AAR rather than Wexford</x:v>
      </x:c>
      <x:c r="I54" s="37" t="str">
        <x:v>Other industrial user</x:v>
      </x:c>
      <x:c r="J54" s="37" t="str">
        <x:v>deep_seek/downloads/cadillac_core/8924430461830557524/2019-10-16 CC-002274 Cadillac WWTP.pdf</x:v>
      </x:c>
      <x:c r="K54" s="37" t="str">
        <x:v>https://mienviro.michigan.gov/ncore/downloadpdf/8924430461830557524</x:v>
      </x:c>
    </x:row>
  </x:sheetData>
  <x:conditionalFormatting sqref="A2:A54">
    <x:cfRule type="containsText" dxfId="0" priority="1" operator="containsText" text="Core"/>
    <x:cfRule type="containsText" dxfId="1" priority="2" operator="containsText" text="County"/>
    <x:cfRule type="containsText" dxfId="2" priority="3" operator="containsText" text="Excluded"/>
  </x:conditionalFormatting>
  <x:conditionalFormatting sqref="G2:G54">
    <x:cfRule type="beginsWith" dxfId="3" priority="4" operator="beginsWith" text="Direct"/>
  </x:conditionalFormatting>
  <x:pageMargins left="0.7" right="0.7" top="0.75" bottom="0.75" header="0.3" footer="0.3"/>
  <x:tableParts count="1">
    <x:tablePart xmlns:r="http://schemas.openxmlformats.org/officeDocument/2006/relationships" r:id="R0825122ac3ba4d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22" hidden="0" customWidth="1"/>
    <x:col min="4" max="4" width="22" hidden="0" customWidth="1"/>
  </x:cols>
  <x:sheetData>
    <x:row r="1" ht="38" customHeight="1">
      <x:c r="A1" s="50" t="str">
        <x:v>Wexford County Landfill / Cadillac WWTP evidence inventory</x:v>
      </x:c>
      <x:c r="B1" s="50"/>
      <x:c r="C1" s="50"/>
      <x:c r="D1" s="50"/>
    </x:row>
    <x:row r="2">
      <x:c r="A2" s="89"/>
      <x:c r="B2" s="89"/>
      <x:c r="C2" s="89"/>
      <x:c r="D2" s="89"/>
    </x:row>
    <x:row r="3">
      <x:c r="A3" s="90" t="str">
        <x:v>Inventory snapshot</x:v>
      </x:c>
      <x:c r="B3" s="90" t="str">
        <x:v>Count</x:v>
      </x:c>
      <x:c r="C3" s="89"/>
      <x:c r="D3" s="89"/>
    </x:row>
    <x:row r="4">
      <x:c r="A4" s="91" t="str">
        <x:v>Total listed records</x:v>
      </x:c>
      <x:c r="B4" s="92" t="n">
        <x:f>COUNTA('Verified Inventory'!C2:C54)</x:f>
        <x:v>53</x:v>
      </x:c>
      <x:c r="C4" s="89"/>
      <x:c r="D4" s="89"/>
    </x:row>
    <x:row r="5">
      <x:c r="A5" s="93" t="str">
        <x:v>Core evidence records</x:v>
      </x:c>
      <x:c r="B5" s="94" t="n">
        <x:f>COUNTIF('Verified Inventory'!A2:A54,"Core")</x:f>
        <x:v>32</x:v>
      </x:c>
      <x:c r="C5" s="89"/>
      <x:c r="D5" s="89"/>
    </x:row>
    <x:row r="6">
      <x:c r="A6" s="93" t="str">
        <x:v>County minute records</x:v>
      </x:c>
      <x:c r="B6" s="94" t="n">
        <x:f>COUNTIF('Verified Inventory'!A2:A54,"County")</x:f>
        <x:v>16</x:v>
      </x:c>
      <x:c r="C6" s="89"/>
      <x:c r="D6" s="89"/>
    </x:row>
    <x:row r="7">
      <x:c r="A7" s="93" t="str">
        <x:v>Excluded/unrelated records</x:v>
      </x:c>
      <x:c r="B7" s="94" t="n">
        <x:f>COUNTIF('Verified Inventory'!A2:A54,"Excluded")</x:f>
        <x:v>2</x:v>
      </x:c>
      <x:c r="C7" s="89"/>
      <x:c r="D7" s="89"/>
    </x:row>
    <x:row r="8">
      <x:c r="A8" s="93" t="str">
        <x:v>Rows marked direct evidence</x:v>
      </x:c>
      <x:c r="B8" s="94" t="n">
        <x:f>COUNTIF('Verified Inventory'!G2:G54,"Direct")+COUNTIF('Verified Inventory'!G2:G54,"Direct summary")</x:f>
        <x:v>40</x:v>
      </x:c>
      <x:c r="C8" s="89"/>
      <x:c r="D8" s="89"/>
    </x:row>
    <x:row r="9">
      <x:c r="A9" s="89"/>
      <x:c r="B9" s="89"/>
      <x:c r="C9" s="89"/>
      <x:c r="D9" s="89"/>
    </x:row>
    <x:row r="10">
      <x:c r="A10" s="95" t="str">
        <x:v>Verification notes</x:v>
      </x:c>
      <x:c r="B10" s="95"/>
      <x:c r="C10" s="95"/>
      <x:c r="D10" s="95"/>
    </x:row>
    <x:row r="11" ht="44" customHeight="1">
      <x:c r="A11" s="96" t="str">
        <x:v>All selected evidence PDFs were read top to bottom. Raster-only records were OCRed and visually checked against the source page images.</x:v>
      </x:c>
      <x:c r="B11" s="96"/>
      <x:c r="C11" s="96"/>
      <x:c r="D11" s="96"/>
    </x:row>
    <x:row r="12" ht="44" customHeight="1">
      <x:c r="A12" s="96" t="str">
        <x:v>The 2014 Inspection 56545 PDFs are duplicate system renderings of one inspection history, not independent receipt events.</x:v>
      </x:c>
      <x:c r="B12" s="96"/>
      <x:c r="C12" s="96"/>
      <x:c r="D12" s="96"/>
    </x:row>
    <x:row r="13" ht="44" customHeight="1">
      <x:c r="A13" s="96" t="str">
        <x:v>No reviewed record attributes the Wexford/Cadillac PFAS source to AFFF; the records identify landfill leachate/trash.</x:v>
      </x:c>
      <x:c r="B13" s="96"/>
      <x:c r="C13" s="96"/>
      <x:c r="D13" s="96"/>
    </x:row>
    <x:row r="14">
      <x:c r="A14" s="89"/>
      <x:c r="B14" s="89"/>
      <x:c r="C14" s="89"/>
      <x:c r="D14" s="89"/>
    </x:row>
    <x:row r="15">
      <x:c r="A15" s="95" t="str">
        <x:v>Official source registers</x:v>
      </x:c>
      <x:c r="B15" s="95"/>
      <x:c r="C15" s="95"/>
      <x:c r="D15" s="95"/>
    </x:row>
    <x:row r="16">
      <x:c r="A16" s="97" t="str">
        <x:v>https://mienviro.michigan.gov/</x:v>
      </x:c>
      <x:c r="B16" s="97"/>
      <x:c r="C16" s="97"/>
      <x:c r="D16" s="97"/>
    </x:row>
    <x:row r="17">
      <x:c r="A17" s="97" t="str">
        <x:v>https://wexfordcounty.org/?page_id=176</x:v>
      </x:c>
      <x:c r="B17" s="97"/>
      <x:c r="C17" s="97"/>
      <x:c r="D17" s="97"/>
    </x:row>
    <x:row r="18">
      <x:c r="A18" s="97" t="str">
        <x:v>https://www.michigan.gov/egle/about/organization/materials-management/solid-waste/solid-waste-disposal-areas/landfill/470336</x:v>
      </x:c>
      <x:c r="B18" s="97"/>
      <x:c r="C18" s="97"/>
      <x:c r="D18" s="97"/>
    </x:row>
    <x:row r="19">
      <x:c r="A19" s="97" t="str">
        <x:v>https://www.epa.gov/uic/class-i-underground-injection-wells-region-5</x:v>
      </x:c>
      <x:c r="B19" s="97"/>
      <x:c r="C19" s="97"/>
      <x:c r="D19" s="97"/>
    </x:row>
  </x:sheetData>
  <x:mergeCells>
    <x:mergeCell ref="A1:D1"/>
    <x:mergeCell ref="A10:D10"/>
    <x:mergeCell ref="A11:D11"/>
    <x:mergeCell ref="A12:D12"/>
    <x:mergeCell ref="A13:D13"/>
    <x:mergeCell ref="A15:D15"/>
    <x:mergeCell ref="A16:D16"/>
    <x:mergeCell ref="A17:D17"/>
    <x:mergeCell ref="A18:D18"/>
    <x:mergeCell ref="A19:D19"/>
  </x:mergeCells>
  <x:pageMargins left="0.7" right="0.7" top="0.75" bottom="0.75" header="0.3" footer="0.3"/>
</x:worksheet>
</file>